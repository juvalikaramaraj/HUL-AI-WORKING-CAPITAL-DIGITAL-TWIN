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4"/>
    <sheet state="visible" name="WC Calculations" sheetId="2" r:id="rId5"/>
    <sheet state="visible" name="Forecast" sheetId="3" r:id="rId6"/>
    <sheet state="visible" name="Digital Twin Simulator" sheetId="4" r:id="rId7"/>
    <sheet state="visible" name="AI Output" sheetId="5" r:id="rId8"/>
    <sheet state="visible" name="Dashboard Data" sheetId="6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Source: HUL consolidated annual results, FY2021-FY2025 (verified).</t>
      </text>
    </comment>
    <comment authorId="0" ref="F9">
      <text>
        <t xml:space="preserve">Source: TradingEconomics 'Trade Creditors', HUL, period ending Mar-2025 (~Rs 11,315 Cr). Other years/lines are compiled estimates — see note above.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">
      <text>
        <t xml:space="preserve">DIO = Inventory / COGS x 365</t>
      </text>
    </comment>
    <comment authorId="0" ref="C4">
      <text>
        <t xml:space="preserve">DSO = Receivables / Revenue x 365</t>
      </text>
    </comment>
    <comment authorId="0" ref="D4">
      <text>
        <t xml:space="preserve">DPO = Payables / COGS x 365</t>
      </text>
    </comment>
    <comment authorId="0" ref="E4">
      <text>
        <t xml:space="preserve">CCC = DIO + DSO - DPO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">
      <text>
        <t xml:space="preserve">Model: scikit-learn LinearRegression. R^2 on historical fit: Revenue 0.89, DSO 0.79, DPO 0.24, DIO 0.02 (DIO/DPO trends are noisy — treat as directional, not high-confidence). See AI_Predictions_Model.ipynb.</t>
      </text>
    </comment>
  </commentList>
</comments>
</file>

<file path=xl/sharedStrings.xml><?xml version="1.0" encoding="utf-8"?>
<sst xmlns="http://schemas.openxmlformats.org/spreadsheetml/2006/main" count="193" uniqueCount="115">
  <si>
    <t>HUL — Raw Financial Data (Rs Crore, Consolidated)</t>
  </si>
  <si>
    <t>Source: Revenue figures verified vs. HUL consolidated annual results (FY21-FY25, Moneycontrol/TradingView coverage). COGS/Inventory/Receivables/Payables are compiled estimates from public aggregators (Screener, Tijori, TradingEconomics), anchored to verified FY24/FY25 balance sheet data points. Verify against HUL Annual Report for audit-grade precision.</t>
  </si>
  <si>
    <t>Year</t>
  </si>
  <si>
    <t>Revenue</t>
  </si>
  <si>
    <t>COGS</t>
  </si>
  <si>
    <t>Inventory</t>
  </si>
  <si>
    <t>Receivables</t>
  </si>
  <si>
    <t>Payables</t>
  </si>
  <si>
    <t>2021</t>
  </si>
  <si>
    <t>2022</t>
  </si>
  <si>
    <t>2023</t>
  </si>
  <si>
    <t>2024</t>
  </si>
  <si>
    <t>2025</t>
  </si>
  <si>
    <t>HUL — Working Capital Cycle (Days)</t>
  </si>
  <si>
    <t>All figures pull live from 'Raw Data'. Black = formulas.</t>
  </si>
  <si>
    <t>DIO</t>
  </si>
  <si>
    <t>DSO</t>
  </si>
  <si>
    <t>DPO</t>
  </si>
  <si>
    <t>CCC</t>
  </si>
  <si>
    <t>HUL — 3-Year Forecast (FY2026E-FY2028E)</t>
  </si>
  <si>
    <t>Assumptions in blue (editable). Revenue grown at CAGR FY21-25; DIO/DSO/DPO held at 3-yr average from WC Calculations.</t>
  </si>
  <si>
    <t>Assumptions</t>
  </si>
  <si>
    <t>Revenue CAGR (FY21-FY25)</t>
  </si>
  <si>
    <t>Avg DIO (FY23-FY25)</t>
  </si>
  <si>
    <t>Avg DSO (FY23-FY25)</t>
  </si>
  <si>
    <t>Avg DPO (FY23-FY25)</t>
  </si>
  <si>
    <t>2026</t>
  </si>
  <si>
    <t>2027</t>
  </si>
  <si>
    <t>2028</t>
  </si>
  <si>
    <t>HUL — Working Capital Digital Twin Simulator</t>
  </si>
  <si>
    <t>Edit 'New Scenario' values (blue) to instantly see impact on cash &amp; CCC.</t>
  </si>
  <si>
    <t>Revenue &amp; COGS basis (latest year, FY2025)</t>
  </si>
  <si>
    <t>Revenue (Rs Cr)</t>
  </si>
  <si>
    <t>COGS (Rs Cr)</t>
  </si>
  <si>
    <t>Variable</t>
  </si>
  <si>
    <t>Current</t>
  </si>
  <si>
    <t>New Scenario</t>
  </si>
  <si>
    <t>Output</t>
  </si>
  <si>
    <t>Value</t>
  </si>
  <si>
    <t>Current CCC (days)</t>
  </si>
  <si>
    <t>New CCC (days)</t>
  </si>
  <si>
    <t>CCC Improvement (days)</t>
  </si>
  <si>
    <t>Cash Released — Inventory (Rs Cr)</t>
  </si>
  <si>
    <t>Cash Released — Receivables (Rs Cr)</t>
  </si>
  <si>
    <t>Cash Released — Payables (Rs Cr)</t>
  </si>
  <si>
    <t>Total Cash Released (Rs Cr)</t>
  </si>
  <si>
    <t>Working Capital Improvement (% of Revenue)</t>
  </si>
  <si>
    <t>Business Scenario Analysis</t>
  </si>
  <si>
    <t>Compares Best/Base/Worst case working capital assumptions against FY2025 Revenue &amp; COGS basis above (B5:B6).</t>
  </si>
  <si>
    <t>Scenario</t>
  </si>
  <si>
    <t>Cash Released (Rs Cr)</t>
  </si>
  <si>
    <t>Working Capital Impact</t>
  </si>
  <si>
    <t>Best Case</t>
  </si>
  <si>
    <t>Base Case</t>
  </si>
  <si>
    <t>Worst Case</t>
  </si>
  <si>
    <t>Cash Released and WC Impact are measured against the 'Current' scenario (B10:B12) at FY2025 Revenue/COGS scale (B5:B6).</t>
  </si>
  <si>
    <t>Risk Indicators — Early Warning System</t>
  </si>
  <si>
    <t>Flags evaluated against the Base Case scenario above. Status updates automatically if assumptions change.</t>
  </si>
  <si>
    <t>Metric</t>
  </si>
  <si>
    <t>Current Value</t>
  </si>
  <si>
    <t>Threshold</t>
  </si>
  <si>
    <t>Status</t>
  </si>
  <si>
    <t>DIO &gt; 50</t>
  </si>
  <si>
    <t>DSO &gt; 30</t>
  </si>
  <si>
    <t>CCC &gt; 0</t>
  </si>
  <si>
    <t>HUL — AI/Python Predicted Working Capital Cycle</t>
  </si>
  <si>
    <t>This sheet shows future predictions generated by a real scikit-learn LinearRegression model (one per metric, trained on FY2021-FY2025 actuals vs. Year). See AI_Predictions_Model.ipynb for the full model build, fit diagnostics, and chart. CCC is calculated as: CCC = DIO + DSO - DPO</t>
  </si>
  <si>
    <t>Predicted DIO</t>
  </si>
  <si>
    <t>Predicted DSO</t>
  </si>
  <si>
    <t>Predicted DPO</t>
  </si>
  <si>
    <t>Predicted CCC</t>
  </si>
  <si>
    <t>AI Insights</t>
  </si>
  <si>
    <t>Insight 1</t>
  </si>
  <si>
    <t>Inventory efficiency expected to improve.</t>
  </si>
  <si>
    <t>Insight 2</t>
  </si>
  <si>
    <t>Receivable collection period expected to reduce.</t>
  </si>
  <si>
    <t>Insight 3</t>
  </si>
  <si>
    <t>Cash Conversion Cycle expected to become more negative.</t>
  </si>
  <si>
    <t>Insight 4</t>
  </si>
  <si>
    <t>Working capital management remains strong.</t>
  </si>
  <si>
    <t>Formula: CCC = DIO + DSO - DPO</t>
  </si>
  <si>
    <t>Table for Multi Row Card (Page 4 — AI Insight 1-4)</t>
  </si>
  <si>
    <t>AI Insight 1</t>
  </si>
  <si>
    <t>AI Insight 2</t>
  </si>
  <si>
    <t>AI Insight 3</t>
  </si>
  <si>
    <t>AI Insight 4</t>
  </si>
  <si>
    <t>HUL — Dashboard Data (Flat Tables for Power BI)</t>
  </si>
  <si>
    <t>Static values only — no formulas. Refresh by re-pasting from earlier sheets.</t>
  </si>
  <si>
    <t>Table 1: Financials &amp; Ratios by Year</t>
  </si>
  <si>
    <t>Table 2: Forecast (FY2026E-FY2028E)</t>
  </si>
  <si>
    <t>Table 3: Digital Twin Scenario</t>
  </si>
  <si>
    <t>Table 4: Simulator Outputs</t>
  </si>
  <si>
    <t>Table 5: Executive KPI Cards (FY2025 snapshot — use for Page 1 Cards)</t>
  </si>
  <si>
    <t>Total Cash Released</t>
  </si>
  <si>
    <t>Working Capital Improvement %</t>
  </si>
  <si>
    <t>Table 6: Cash Impact Breakdown (Page 3 — Cash Impact Breakdown chart)</t>
  </si>
  <si>
    <t>Impact Type</t>
  </si>
  <si>
    <t>Cash Released</t>
  </si>
  <si>
    <t>Inventory Impact</t>
  </si>
  <si>
    <t>Receivable Impact</t>
  </si>
  <si>
    <t>Payable Impact</t>
  </si>
  <si>
    <t>Table 7: Current vs Scenario Comparison (Page 3 comparison chart)</t>
  </si>
  <si>
    <t>Current DIO</t>
  </si>
  <si>
    <t>Scenario DIO</t>
  </si>
  <si>
    <t>Current DSO</t>
  </si>
  <si>
    <t>Scenario DSO</t>
  </si>
  <si>
    <t>Current DPO</t>
  </si>
  <si>
    <t>Scenario DPO</t>
  </si>
  <si>
    <t>Table 8: Simulator KPI Cards (Page 3 — Card 1-4)</t>
  </si>
  <si>
    <t>Current CCC</t>
  </si>
  <si>
    <t>New CCC</t>
  </si>
  <si>
    <t>CCC Improvement</t>
  </si>
  <si>
    <t>Table 9: Business Scenario Analysis (Best / Base / Worst Case)</t>
  </si>
  <si>
    <t>Table 10: Risk Indicators — Early Warning System (Base Case)</t>
  </si>
  <si>
    <t>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</si>
</sst>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;\(#,##0\);\-"/>
    <numFmt numFmtId="165" formatCode="#,##0.0;\(#,##0.0\);\-"/>
    <numFmt numFmtId="166" formatCode="0.0%"/>
  </numFmts>
  <fonts count="14">
    <font>
      <sz val="11.0"/>
      <color/>
      <name val="Arial"/>
      <scheme val="minor"/>
    </font>
    <font>
      <b/>
      <sz val="13.0"/>
      <name val="Arial"/>
    </font>
    <font>
      <i/>
      <sz val="9.0"/>
      <color rgb="FF666666"/>
      <name val="Arial"/>
    </font>
    <font>
      <sz val="11.0"/>
      <color/>
      <name val="Calibri"/>
    </font>
    <font>
      <b/>
      <sz val="11.0"/>
      <color rgb="FFFFFFFF"/>
      <name val="Arial"/>
    </font>
    <font>
      <sz val="11.0"/>
      <color rgb="FF0000FF"/>
      <name val="Arial"/>
    </font>
    <font>
      <sz val="11.0"/>
      <color rgb="FF008000"/>
      <name val="Arial"/>
    </font>
    <font>
      <sz val="11.0"/>
      <color rgb="FF000000"/>
      <name val="Arial"/>
    </font>
    <font>
      <b/>
      <sz val="11.0"/>
      <name val="Arial"/>
    </font>
    <font>
      <sz val="11.0"/>
      <name val="Arial"/>
    </font>
    <font/>
    <font>
      <b/>
      <sz val="11.0"/>
      <color rgb="FF000000"/>
      <name val="Arial"/>
    </font>
    <font>
      <b/>
      <sz val="12.0"/>
      <color rgb="FFFFFFFF"/>
      <name val="Arial"/>
    </font>
    <font>
      <b/>
      <sz val="11.0"/>
      <color rgb="FF1E7A4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E2EFDA"/>
      </patternFill>
    </fill>
    <fill>
      <patternFill patternType="solid">
        <fgColor rgb="FFC6E7D4"/>
        <bgColor rgb="FFC6E7D4"/>
      </patternFill>
    </fill>
  </fills>
  <borders count="9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/>
      <right/>
      <top/>
      <bottom/>
    </border>
    <border>
      <left/>
      <top/>
      <bottom/>
    </border>
    <border>
      <right/>
      <top/>
      <bottom/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top/>
      <bottom/>
    </border>
    <border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horizontal="center" shrinkToFit="0" vertical="center" wrapText="1"/>
    </xf>
    <xf borderId="1" fillId="0" fontId="5" numFmtId="49" xfId="0" applyAlignment="1" applyBorder="1" applyFont="1" applyNumberFormat="1">
      <alignment horizontal="center" shrinkToFit="0" vertical="bottom" wrapText="0"/>
    </xf>
    <xf borderId="1" fillId="0" fontId="5" numFmtId="164" xfId="0" applyAlignment="1" applyBorder="1" applyFont="1" applyNumberFormat="1">
      <alignment horizontal="center" shrinkToFit="0" vertical="bottom" wrapText="0"/>
    </xf>
    <xf borderId="1" fillId="0" fontId="6" numFmtId="49" xfId="0" applyAlignment="1" applyBorder="1" applyFont="1" applyNumberFormat="1">
      <alignment horizontal="center" shrinkToFit="0" vertical="bottom" wrapText="0"/>
    </xf>
    <xf borderId="1" fillId="0" fontId="7" numFmtId="165" xfId="0" applyAlignment="1" applyBorder="1" applyFont="1" applyNumberFormat="1">
      <alignment horizontal="center" shrinkToFit="0" vertical="bottom" wrapText="0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1" fillId="0" fontId="7" numFmtId="166" xfId="0" applyAlignment="1" applyBorder="1" applyFont="1" applyNumberFormat="1">
      <alignment horizontal="center" shrinkToFit="0" vertical="bottom" wrapText="0"/>
    </xf>
    <xf borderId="1" fillId="0" fontId="6" numFmtId="165" xfId="0" applyAlignment="1" applyBorder="1" applyFont="1" applyNumberFormat="1">
      <alignment horizontal="center" shrinkToFit="0" vertical="bottom" wrapText="0"/>
    </xf>
    <xf borderId="1" fillId="0" fontId="7" numFmtId="164" xfId="0" applyAlignment="1" applyBorder="1" applyFont="1" applyNumberFormat="1">
      <alignment horizontal="center" shrinkToFit="0" vertical="bottom" wrapText="0"/>
    </xf>
    <xf borderId="1" fillId="0" fontId="6" numFmtId="164" xfId="0" applyAlignment="1" applyBorder="1" applyFont="1" applyNumberFormat="1">
      <alignment horizontal="center" shrinkToFit="0" vertical="bottom" wrapText="0"/>
    </xf>
    <xf borderId="1" fillId="0" fontId="8" numFmtId="0" xfId="0" applyAlignment="1" applyBorder="1" applyFont="1">
      <alignment shrinkToFit="0" vertical="bottom" wrapText="0"/>
    </xf>
    <xf borderId="1" fillId="0" fontId="5" numFmtId="165" xfId="0" applyAlignment="1" applyBorder="1" applyFont="1" applyNumberFormat="1">
      <alignment horizontal="center" shrinkToFit="0" vertical="bottom" wrapText="0"/>
    </xf>
    <xf borderId="1" fillId="3" fontId="5" numFmtId="165" xfId="0" applyAlignment="1" applyBorder="1" applyFill="1" applyFont="1" applyNumberFormat="1">
      <alignment horizontal="center" shrinkToFit="0" vertical="bottom" wrapText="0"/>
    </xf>
    <xf borderId="2" fillId="2" fontId="4" numFmtId="0" xfId="0" applyAlignment="1" applyBorder="1" applyFont="1">
      <alignment shrinkToFit="0" vertical="bottom" wrapText="0"/>
    </xf>
    <xf borderId="3" fillId="2" fontId="4" numFmtId="0" xfId="0" applyAlignment="1" applyBorder="1" applyFont="1">
      <alignment shrinkToFit="0" vertical="bottom" wrapText="0"/>
    </xf>
    <xf borderId="4" fillId="0" fontId="10" numFmtId="0" xfId="0" applyBorder="1" applyFont="1"/>
    <xf borderId="1" fillId="0" fontId="9" numFmtId="0" xfId="0" applyAlignment="1" applyBorder="1" applyFont="1">
      <alignment shrinkToFit="0" vertical="bottom" wrapText="0"/>
    </xf>
    <xf borderId="5" fillId="0" fontId="7" numFmtId="165" xfId="0" applyAlignment="1" applyBorder="1" applyFont="1" applyNumberFormat="1">
      <alignment horizontal="center" shrinkToFit="0" vertical="bottom" wrapText="0"/>
    </xf>
    <xf borderId="6" fillId="0" fontId="10" numFmtId="0" xfId="0" applyBorder="1" applyFont="1"/>
    <xf borderId="5" fillId="0" fontId="7" numFmtId="164" xfId="0" applyAlignment="1" applyBorder="1" applyFont="1" applyNumberFormat="1">
      <alignment horizontal="center" shrinkToFit="0" vertical="bottom" wrapText="0"/>
    </xf>
    <xf borderId="5" fillId="4" fontId="11" numFmtId="164" xfId="0" applyAlignment="1" applyBorder="1" applyFill="1" applyFont="1" applyNumberFormat="1">
      <alignment horizontal="center" shrinkToFit="0" vertical="bottom" wrapText="0"/>
    </xf>
    <xf borderId="5" fillId="0" fontId="7" numFmtId="166" xfId="0" applyAlignment="1" applyBorder="1" applyFont="1" applyNumberFormat="1">
      <alignment horizontal="center" shrinkToFit="0" vertical="bottom" wrapText="0"/>
    </xf>
    <xf borderId="3" fillId="2" fontId="12" numFmtId="0" xfId="0" applyAlignment="1" applyBorder="1" applyFont="1">
      <alignment horizontal="left" shrinkToFit="0" vertical="center" wrapText="0"/>
    </xf>
    <xf borderId="7" fillId="0" fontId="10" numFmtId="0" xfId="0" applyBorder="1" applyFont="1"/>
    <xf borderId="1" fillId="0" fontId="8" numFmtId="0" xfId="0" applyAlignment="1" applyBorder="1" applyFont="1">
      <alignment horizontal="left" shrinkToFit="0" vertical="bottom" wrapText="0"/>
    </xf>
    <xf borderId="1" fillId="0" fontId="7" numFmtId="10" xfId="0" applyAlignment="1" applyBorder="1" applyFont="1" applyNumberFormat="1">
      <alignment horizontal="center" shrinkToFit="0" vertical="bottom" wrapText="0"/>
    </xf>
    <xf borderId="1" fillId="0" fontId="8" numFmtId="0" xfId="0" applyAlignment="1" applyBorder="1" applyFont="1">
      <alignment horizontal="center" shrinkToFit="0" vertical="bottom" wrapText="0"/>
    </xf>
    <xf borderId="1" fillId="4" fontId="8" numFmtId="0" xfId="0" applyAlignment="1" applyBorder="1" applyFont="1">
      <alignment horizontal="left" shrinkToFit="0" vertical="center" wrapText="0"/>
    </xf>
    <xf borderId="5" fillId="0" fontId="9" numFmtId="0" xfId="0" applyAlignment="1" applyBorder="1" applyFont="1">
      <alignment horizontal="left" shrinkToFit="0" vertical="center" wrapText="1"/>
    </xf>
    <xf borderId="8" fillId="0" fontId="10" numFmtId="0" xfId="0" applyBorder="1" applyFont="1"/>
    <xf borderId="1" fillId="0" fontId="7" numFmtId="0" xfId="0" applyAlignment="1" applyBorder="1" applyFont="1">
      <alignment horizontal="left" shrinkToFit="0" vertical="center" wrapText="1"/>
    </xf>
    <xf borderId="1" fillId="0" fontId="7" numFmtId="49" xfId="0" applyAlignment="1" applyBorder="1" applyFont="1" applyNumberFormat="1">
      <alignment horizontal="center" shrinkToFit="0" vertical="bottom" wrapText="0"/>
    </xf>
    <xf borderId="1" fillId="0" fontId="7" numFmtId="0" xfId="0" applyAlignment="1" applyBorder="1" applyFont="1">
      <alignment shrinkToFit="0" vertical="bottom" wrapText="0"/>
    </xf>
    <xf borderId="1" fillId="5" fontId="13" numFmtId="164" xfId="0" applyAlignment="1" applyBorder="1" applyFill="1" applyFont="1" applyNumberFormat="1">
      <alignment horizontal="center" shrinkToFit="0" vertical="bottom" wrapText="0"/>
    </xf>
  </cellXfs>
  <cellStyles count="1">
    <cellStyle xfId="0" name="Normal" builtinId="0"/>
  </cellStyles>
  <dxfs count="3">
    <dxf>
      <font>
        <b/>
        <color rgb="FFA6231E"/>
        <name val="Arial"/>
      </font>
      <fill>
        <patternFill patternType="solid">
          <fgColor rgb="FFF8CBCB"/>
          <bgColor rgb="FFF8CBCB"/>
        </patternFill>
      </fill>
      <border/>
    </dxf>
    <dxf>
      <font>
        <b/>
        <color rgb="FF9C6500"/>
        <name val="Arial"/>
      </font>
      <fill>
        <patternFill patternType="solid">
          <fgColor rgb="FFFCE4B0"/>
          <bgColor rgb="FFFCE4B0"/>
        </patternFill>
      </fill>
      <border/>
    </dxf>
    <dxf>
      <font>
        <b/>
        <color rgb="FF1E7A4C"/>
        <name val="Arial"/>
      </font>
      <fill>
        <patternFill patternType="solid">
          <fgColor rgb="FFC6E7D4"/>
          <bgColor rgb="FFC6E7D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b="0" l="0" r="0" t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b="0" l="0" r="0" t="0"/>
        </a:gradFill>
      </a:fillStyleLst>
      <a:lnStyleLst>
        <a:ln cap="flat" cmpd="sng" w="9525" algn="ctr">
          <a:prstDash val="solid"/>
        </a:ln>
        <a:ln cap="flat" cmpd="sng" w="25400" algn="ctr">
          <a:prstDash val="solid"/>
        </a:ln>
        <a:ln cap="flat" cmpd="sng" w="38100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b="180000" l="50000" r="50000" t="-80000"/>
          </a:path>
          <a:tileRect b="0" l="0" r="0" t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b="50000" l="50000" r="50000" t="50000"/>
          </a:path>
          <a:tileRect b="0" l="0" r="0" t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6" width="14.0"/>
    <col customWidth="1" min="7" max="11" width="8.71"/>
  </cols>
  <sheetData>
    <row r="1" ht="15.75" customHeight="1">
      <c r="A1" s="1" t="s">
        <v>0</v>
      </c>
    </row>
    <row r="2" ht="15.0" customHeight="1">
      <c r="A2" s="2" t="s">
        <v>1</v>
      </c>
    </row>
    <row r="3">
      <c r="A3" s="3"/>
      <c r="B3" s="3"/>
      <c r="C3" s="3"/>
      <c r="D3" s="3"/>
      <c r="E3" s="3"/>
      <c r="F3" s="3"/>
    </row>
    <row r="4" ht="15.0" customHeight="1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ht="15.0" customHeight="1">
      <c r="A5" s="5" t="s">
        <v>8</v>
      </c>
      <c r="B5" s="6">
        <v>47028.0</v>
      </c>
      <c r="C5" s="6">
        <v>22800.0</v>
      </c>
      <c r="D5" s="6">
        <v>2930.0</v>
      </c>
      <c r="E5" s="6">
        <v>1890.0</v>
      </c>
      <c r="F5" s="6">
        <v>7810.0</v>
      </c>
    </row>
    <row r="6" ht="15.0" customHeight="1">
      <c r="A6" s="5" t="s">
        <v>9</v>
      </c>
      <c r="B6" s="6">
        <v>52446.0</v>
      </c>
      <c r="C6" s="6">
        <v>26800.0</v>
      </c>
      <c r="D6" s="6">
        <v>3360.0</v>
      </c>
      <c r="E6" s="6">
        <v>2200.0</v>
      </c>
      <c r="F6" s="6">
        <v>8760.0</v>
      </c>
    </row>
    <row r="7" ht="15.0" customHeight="1">
      <c r="A7" s="5" t="s">
        <v>10</v>
      </c>
      <c r="B7" s="6">
        <v>60580.0</v>
      </c>
      <c r="C7" s="6">
        <v>30900.0</v>
      </c>
      <c r="D7" s="6">
        <v>3640.0</v>
      </c>
      <c r="E7" s="6">
        <v>2470.0</v>
      </c>
      <c r="F7" s="6">
        <v>9580.0</v>
      </c>
    </row>
    <row r="8" ht="15.0" customHeight="1">
      <c r="A8" s="5" t="s">
        <v>11</v>
      </c>
      <c r="B8" s="6">
        <v>61896.0</v>
      </c>
      <c r="C8" s="6">
        <v>29900.0</v>
      </c>
      <c r="D8" s="6">
        <v>3812.0</v>
      </c>
      <c r="E8" s="6">
        <v>2690.0</v>
      </c>
      <c r="F8" s="6">
        <v>10148.0</v>
      </c>
    </row>
    <row r="9" ht="15.0" customHeight="1">
      <c r="A9" s="5" t="s">
        <v>12</v>
      </c>
      <c r="B9" s="6">
        <v>63121.0</v>
      </c>
      <c r="C9" s="6">
        <v>30500.0</v>
      </c>
      <c r="D9" s="6">
        <v>3950.0</v>
      </c>
      <c r="E9" s="6">
        <v>2820.0</v>
      </c>
      <c r="F9" s="6">
        <v>11315.0</v>
      </c>
    </row>
    <row r="10">
      <c r="A10" s="3"/>
      <c r="B10" s="3"/>
      <c r="C10" s="3"/>
      <c r="D10" s="3"/>
      <c r="E10" s="3"/>
      <c r="F10" s="3"/>
    </row>
    <row r="11">
      <c r="A11" s="3"/>
      <c r="B11" s="3"/>
      <c r="C11" s="3"/>
      <c r="D11" s="3"/>
      <c r="E11" s="3"/>
      <c r="F11" s="3"/>
    </row>
    <row r="12">
      <c r="A12" s="3"/>
      <c r="B12" s="3"/>
      <c r="C12" s="3"/>
      <c r="D12" s="3"/>
      <c r="E12" s="3"/>
      <c r="F12" s="3"/>
    </row>
    <row r="13">
      <c r="A13" s="3"/>
      <c r="B13" s="3"/>
      <c r="C13" s="3"/>
      <c r="D13" s="3"/>
      <c r="E13" s="3"/>
      <c r="F13" s="3"/>
    </row>
    <row r="14">
      <c r="A14" s="3"/>
      <c r="B14" s="3"/>
      <c r="C14" s="3"/>
      <c r="D14" s="3"/>
      <c r="E14" s="3"/>
      <c r="F14" s="3"/>
    </row>
    <row r="15">
      <c r="A15" s="3"/>
      <c r="B15" s="3"/>
      <c r="C15" s="3"/>
      <c r="D15" s="3"/>
      <c r="E15" s="3"/>
      <c r="F15" s="3"/>
    </row>
    <row r="16">
      <c r="A16" s="3"/>
      <c r="B16" s="3"/>
      <c r="C16" s="3"/>
      <c r="D16" s="3"/>
      <c r="E16" s="3"/>
      <c r="F16" s="3"/>
    </row>
    <row r="17">
      <c r="A17" s="3"/>
      <c r="B17" s="3"/>
      <c r="C17" s="3"/>
      <c r="D17" s="3"/>
      <c r="E17" s="3"/>
      <c r="F17" s="3"/>
    </row>
    <row r="18">
      <c r="A18" s="3"/>
      <c r="B18" s="3"/>
      <c r="C18" s="3"/>
      <c r="D18" s="3"/>
      <c r="E18" s="3"/>
      <c r="F18" s="3"/>
    </row>
    <row r="19">
      <c r="A19" s="3"/>
      <c r="B19" s="3"/>
      <c r="C19" s="3"/>
      <c r="D19" s="3"/>
      <c r="E19" s="3"/>
      <c r="F19" s="3"/>
    </row>
    <row r="20">
      <c r="A20" s="3"/>
      <c r="B20" s="3"/>
      <c r="C20" s="3"/>
      <c r="D20" s="3"/>
      <c r="E20" s="3"/>
      <c r="F20" s="3"/>
    </row>
    <row r="21" ht="15.75" customHeight="1">
      <c r="A21" s="3"/>
      <c r="B21" s="3"/>
      <c r="C21" s="3"/>
      <c r="D21" s="3"/>
      <c r="E21" s="3"/>
      <c r="F21" s="3"/>
    </row>
    <row r="22" ht="15.75" customHeight="1">
      <c r="A22" s="3"/>
      <c r="B22" s="3"/>
      <c r="C22" s="3"/>
      <c r="D22" s="3"/>
      <c r="E22" s="3"/>
      <c r="F22" s="3"/>
    </row>
    <row r="23" ht="15.75" customHeight="1">
      <c r="A23" s="3"/>
      <c r="B23" s="3"/>
      <c r="C23" s="3"/>
      <c r="D23" s="3"/>
      <c r="E23" s="3"/>
      <c r="F23" s="3"/>
    </row>
    <row r="24" ht="15.75" customHeight="1">
      <c r="A24" s="3"/>
      <c r="B24" s="3"/>
      <c r="C24" s="3"/>
      <c r="D24" s="3"/>
      <c r="E24" s="3"/>
      <c r="F24" s="3"/>
    </row>
    <row r="25" ht="15.75" customHeight="1">
      <c r="A25" s="3"/>
      <c r="B25" s="3"/>
      <c r="C25" s="3"/>
      <c r="D25" s="3"/>
      <c r="E25" s="3"/>
      <c r="F25" s="3"/>
    </row>
    <row r="26" ht="15.75" customHeight="1">
      <c r="A26" s="3"/>
      <c r="B26" s="3"/>
      <c r="C26" s="3"/>
      <c r="D26" s="3"/>
      <c r="E26" s="3"/>
      <c r="F26" s="3"/>
    </row>
    <row r="27" ht="15.75" customHeight="1">
      <c r="A27" s="3"/>
      <c r="B27" s="3"/>
      <c r="C27" s="3"/>
      <c r="D27" s="3"/>
      <c r="E27" s="3"/>
      <c r="F27" s="3"/>
    </row>
    <row r="28" ht="15.75" customHeight="1">
      <c r="A28" s="3"/>
      <c r="B28" s="3"/>
      <c r="C28" s="3"/>
      <c r="D28" s="3"/>
      <c r="E28" s="3"/>
      <c r="F28" s="3"/>
    </row>
    <row r="29" ht="15.75" customHeight="1">
      <c r="A29" s="3"/>
      <c r="B29" s="3"/>
      <c r="C29" s="3"/>
      <c r="D29" s="3"/>
      <c r="E29" s="3"/>
      <c r="F29" s="3"/>
    </row>
    <row r="30" ht="15.75" customHeight="1">
      <c r="A30" s="3"/>
      <c r="B30" s="3"/>
      <c r="C30" s="3"/>
      <c r="D30" s="3"/>
      <c r="E30" s="3"/>
      <c r="F30" s="3"/>
    </row>
    <row r="31" ht="15.75" customHeight="1">
      <c r="A31" s="3"/>
      <c r="B31" s="3"/>
      <c r="C31" s="3"/>
      <c r="D31" s="3"/>
      <c r="E31" s="3"/>
      <c r="F31" s="3"/>
    </row>
    <row r="32" ht="15.75" customHeight="1">
      <c r="A32" s="3"/>
      <c r="B32" s="3"/>
      <c r="C32" s="3"/>
      <c r="D32" s="3"/>
      <c r="E32" s="3"/>
      <c r="F32" s="3"/>
    </row>
    <row r="33" ht="15.75" customHeight="1">
      <c r="A33" s="3"/>
      <c r="B33" s="3"/>
      <c r="C33" s="3"/>
      <c r="D33" s="3"/>
      <c r="E33" s="3"/>
      <c r="F33" s="3"/>
    </row>
    <row r="34" ht="15.75" customHeight="1">
      <c r="A34" s="3"/>
      <c r="B34" s="3"/>
      <c r="C34" s="3"/>
      <c r="D34" s="3"/>
      <c r="E34" s="3"/>
      <c r="F34" s="3"/>
    </row>
    <row r="35" ht="15.75" customHeight="1">
      <c r="A35" s="3"/>
      <c r="B35" s="3"/>
      <c r="C35" s="3"/>
      <c r="D35" s="3"/>
      <c r="E35" s="3"/>
      <c r="F35" s="3"/>
    </row>
    <row r="36" ht="15.75" customHeight="1">
      <c r="A36" s="3"/>
      <c r="B36" s="3"/>
      <c r="C36" s="3"/>
      <c r="D36" s="3"/>
      <c r="E36" s="3"/>
      <c r="F36" s="3"/>
    </row>
    <row r="37" ht="15.75" customHeight="1">
      <c r="A37" s="3"/>
      <c r="B37" s="3"/>
      <c r="C37" s="3"/>
      <c r="D37" s="3"/>
      <c r="E37" s="3"/>
      <c r="F37" s="3"/>
    </row>
    <row r="38" ht="15.75" customHeight="1">
      <c r="A38" s="3"/>
      <c r="B38" s="3"/>
      <c r="C38" s="3"/>
      <c r="D38" s="3"/>
      <c r="E38" s="3"/>
      <c r="F38" s="3"/>
    </row>
    <row r="39" ht="15.75" customHeight="1">
      <c r="A39" s="3"/>
      <c r="B39" s="3"/>
      <c r="C39" s="3"/>
      <c r="D39" s="3"/>
      <c r="E39" s="3"/>
      <c r="F39" s="3"/>
    </row>
    <row r="40" ht="15.75" customHeight="1">
      <c r="A40" s="3"/>
      <c r="B40" s="3"/>
      <c r="C40" s="3"/>
      <c r="D40" s="3"/>
      <c r="E40" s="3"/>
      <c r="F40" s="3"/>
    </row>
    <row r="41" ht="15.75" customHeight="1">
      <c r="A41" s="3"/>
      <c r="B41" s="3"/>
      <c r="C41" s="3"/>
      <c r="D41" s="3"/>
      <c r="E41" s="3"/>
      <c r="F41" s="3"/>
    </row>
    <row r="42" ht="15.75" customHeight="1">
      <c r="A42" s="3"/>
      <c r="B42" s="3"/>
      <c r="C42" s="3"/>
      <c r="D42" s="3"/>
      <c r="E42" s="3"/>
      <c r="F42" s="3"/>
    </row>
    <row r="43" ht="15.75" customHeight="1">
      <c r="A43" s="3"/>
      <c r="B43" s="3"/>
      <c r="C43" s="3"/>
      <c r="D43" s="3"/>
      <c r="E43" s="3"/>
      <c r="F43" s="3"/>
    </row>
    <row r="44" ht="15.75" customHeight="1">
      <c r="A44" s="3"/>
      <c r="B44" s="3"/>
      <c r="C44" s="3"/>
      <c r="D44" s="3"/>
      <c r="E44" s="3"/>
      <c r="F44" s="3"/>
    </row>
    <row r="45" ht="15.75" customHeight="1">
      <c r="A45" s="3"/>
      <c r="B45" s="3"/>
      <c r="C45" s="3"/>
      <c r="D45" s="3"/>
      <c r="E45" s="3"/>
      <c r="F45" s="3"/>
    </row>
    <row r="46" ht="15.75" customHeight="1">
      <c r="A46" s="3"/>
      <c r="B46" s="3"/>
      <c r="C46" s="3"/>
      <c r="D46" s="3"/>
      <c r="E46" s="3"/>
      <c r="F46" s="3"/>
    </row>
    <row r="47" ht="15.75" customHeight="1">
      <c r="A47" s="3"/>
      <c r="B47" s="3"/>
      <c r="C47" s="3"/>
      <c r="D47" s="3"/>
      <c r="E47" s="3"/>
      <c r="F47" s="3"/>
    </row>
    <row r="48" ht="15.75" customHeight="1">
      <c r="A48" s="3"/>
      <c r="B48" s="3"/>
      <c r="C48" s="3"/>
      <c r="D48" s="3"/>
      <c r="E48" s="3"/>
      <c r="F48" s="3"/>
    </row>
    <row r="49" ht="15.75" customHeight="1">
      <c r="A49" s="3"/>
      <c r="B49" s="3"/>
      <c r="C49" s="3"/>
      <c r="D49" s="3"/>
      <c r="E49" s="3"/>
      <c r="F49" s="3"/>
    </row>
    <row r="50" ht="15.75" customHeight="1">
      <c r="A50" s="3"/>
      <c r="B50" s="3"/>
      <c r="C50" s="3"/>
      <c r="D50" s="3"/>
      <c r="E50" s="3"/>
      <c r="F50" s="3"/>
    </row>
    <row r="51" ht="15.75" customHeight="1">
      <c r="A51" s="3"/>
      <c r="B51" s="3"/>
      <c r="C51" s="3"/>
      <c r="D51" s="3"/>
      <c r="E51" s="3"/>
      <c r="F51" s="3"/>
    </row>
    <row r="52" ht="15.75" customHeight="1">
      <c r="A52" s="3"/>
      <c r="B52" s="3"/>
      <c r="C52" s="3"/>
      <c r="D52" s="3"/>
      <c r="E52" s="3"/>
      <c r="F52" s="3"/>
    </row>
    <row r="53" ht="15.75" customHeight="1">
      <c r="A53" s="3"/>
      <c r="B53" s="3"/>
      <c r="C53" s="3"/>
      <c r="D53" s="3"/>
      <c r="E53" s="3"/>
      <c r="F53" s="3"/>
    </row>
    <row r="54" ht="15.75" customHeight="1">
      <c r="A54" s="3"/>
      <c r="B54" s="3"/>
      <c r="C54" s="3"/>
      <c r="D54" s="3"/>
      <c r="E54" s="3"/>
      <c r="F54" s="3"/>
    </row>
    <row r="55" ht="15.75" customHeight="1">
      <c r="A55" s="3"/>
      <c r="B55" s="3"/>
      <c r="C55" s="3"/>
      <c r="D55" s="3"/>
      <c r="E55" s="3"/>
      <c r="F55" s="3"/>
    </row>
    <row r="56" ht="15.75" customHeight="1">
      <c r="A56" s="3"/>
      <c r="B56" s="3"/>
      <c r="C56" s="3"/>
      <c r="D56" s="3"/>
      <c r="E56" s="3"/>
      <c r="F56" s="3"/>
    </row>
    <row r="57" ht="15.75" customHeight="1">
      <c r="A57" s="3"/>
      <c r="B57" s="3"/>
      <c r="C57" s="3"/>
      <c r="D57" s="3"/>
      <c r="E57" s="3"/>
      <c r="F57" s="3"/>
    </row>
    <row r="58" ht="15.75" customHeight="1">
      <c r="A58" s="3"/>
      <c r="B58" s="3"/>
      <c r="C58" s="3"/>
      <c r="D58" s="3"/>
      <c r="E58" s="3"/>
      <c r="F58" s="3"/>
    </row>
    <row r="59" ht="15.75" customHeight="1">
      <c r="A59" s="3"/>
      <c r="B59" s="3"/>
      <c r="C59" s="3"/>
      <c r="D59" s="3"/>
      <c r="E59" s="3"/>
      <c r="F59" s="3"/>
    </row>
    <row r="60" ht="15.75" customHeight="1">
      <c r="A60" s="3"/>
      <c r="B60" s="3"/>
      <c r="C60" s="3"/>
      <c r="D60" s="3"/>
      <c r="E60" s="3"/>
      <c r="F60" s="3"/>
    </row>
    <row r="61" ht="15.75" customHeight="1">
      <c r="A61" s="3"/>
      <c r="B61" s="3"/>
      <c r="C61" s="3"/>
      <c r="D61" s="3"/>
      <c r="E61" s="3"/>
      <c r="F61" s="3"/>
    </row>
    <row r="62" ht="15.75" customHeight="1">
      <c r="A62" s="3"/>
      <c r="B62" s="3"/>
      <c r="C62" s="3"/>
      <c r="D62" s="3"/>
      <c r="E62" s="3"/>
      <c r="F62" s="3"/>
    </row>
    <row r="63" ht="15.75" customHeight="1">
      <c r="A63" s="3"/>
      <c r="B63" s="3"/>
      <c r="C63" s="3"/>
      <c r="D63" s="3"/>
      <c r="E63" s="3"/>
      <c r="F63" s="3"/>
    </row>
    <row r="64" ht="15.75" customHeight="1">
      <c r="A64" s="3"/>
      <c r="B64" s="3"/>
      <c r="C64" s="3"/>
      <c r="D64" s="3"/>
      <c r="E64" s="3"/>
      <c r="F64" s="3"/>
    </row>
    <row r="65" ht="15.75" customHeight="1">
      <c r="A65" s="3"/>
      <c r="B65" s="3"/>
      <c r="C65" s="3"/>
      <c r="D65" s="3"/>
      <c r="E65" s="3"/>
      <c r="F65" s="3"/>
    </row>
    <row r="66" ht="15.75" customHeight="1">
      <c r="A66" s="3"/>
      <c r="B66" s="3"/>
      <c r="C66" s="3"/>
      <c r="D66" s="3"/>
      <c r="E66" s="3"/>
      <c r="F66" s="3"/>
    </row>
    <row r="67" ht="15.75" customHeight="1">
      <c r="A67" s="3"/>
      <c r="B67" s="3"/>
      <c r="C67" s="3"/>
      <c r="D67" s="3"/>
      <c r="E67" s="3"/>
      <c r="F67" s="3"/>
    </row>
    <row r="68" ht="15.75" customHeight="1">
      <c r="A68" s="3"/>
      <c r="B68" s="3"/>
      <c r="C68" s="3"/>
      <c r="D68" s="3"/>
      <c r="E68" s="3"/>
      <c r="F68" s="3"/>
    </row>
    <row r="69" ht="15.75" customHeight="1">
      <c r="A69" s="3"/>
      <c r="B69" s="3"/>
      <c r="C69" s="3"/>
      <c r="D69" s="3"/>
      <c r="E69" s="3"/>
      <c r="F69" s="3"/>
    </row>
    <row r="70" ht="15.75" customHeight="1">
      <c r="A70" s="3"/>
      <c r="B70" s="3"/>
      <c r="C70" s="3"/>
      <c r="D70" s="3"/>
      <c r="E70" s="3"/>
      <c r="F70" s="3"/>
    </row>
    <row r="71" ht="15.75" customHeight="1">
      <c r="A71" s="3"/>
      <c r="B71" s="3"/>
      <c r="C71" s="3"/>
      <c r="D71" s="3"/>
      <c r="E71" s="3"/>
      <c r="F71" s="3"/>
    </row>
    <row r="72" ht="15.75" customHeight="1">
      <c r="A72" s="3"/>
      <c r="B72" s="3"/>
      <c r="C72" s="3"/>
      <c r="D72" s="3"/>
      <c r="E72" s="3"/>
      <c r="F72" s="3"/>
    </row>
    <row r="73" ht="15.75" customHeight="1">
      <c r="A73" s="3"/>
      <c r="B73" s="3"/>
      <c r="C73" s="3"/>
      <c r="D73" s="3"/>
      <c r="E73" s="3"/>
      <c r="F73" s="3"/>
    </row>
    <row r="74" ht="15.75" customHeight="1">
      <c r="A74" s="3"/>
      <c r="B74" s="3"/>
      <c r="C74" s="3"/>
      <c r="D74" s="3"/>
      <c r="E74" s="3"/>
      <c r="F74" s="3"/>
    </row>
    <row r="75" ht="15.75" customHeight="1">
      <c r="A75" s="3"/>
      <c r="B75" s="3"/>
      <c r="C75" s="3"/>
      <c r="D75" s="3"/>
      <c r="E75" s="3"/>
      <c r="F75" s="3"/>
    </row>
    <row r="76" ht="15.75" customHeight="1">
      <c r="A76" s="3"/>
      <c r="B76" s="3"/>
      <c r="C76" s="3"/>
      <c r="D76" s="3"/>
      <c r="E76" s="3"/>
      <c r="F76" s="3"/>
    </row>
    <row r="77" ht="15.75" customHeight="1">
      <c r="A77" s="3"/>
      <c r="B77" s="3"/>
      <c r="C77" s="3"/>
      <c r="D77" s="3"/>
      <c r="E77" s="3"/>
      <c r="F77" s="3"/>
    </row>
    <row r="78" ht="15.75" customHeight="1">
      <c r="A78" s="3"/>
      <c r="B78" s="3"/>
      <c r="C78" s="3"/>
      <c r="D78" s="3"/>
      <c r="E78" s="3"/>
      <c r="F78" s="3"/>
    </row>
    <row r="79" ht="15.75" customHeight="1">
      <c r="A79" s="3"/>
      <c r="B79" s="3"/>
      <c r="C79" s="3"/>
      <c r="D79" s="3"/>
      <c r="E79" s="3"/>
      <c r="F79" s="3"/>
    </row>
    <row r="80" ht="15.75" customHeight="1">
      <c r="A80" s="3"/>
      <c r="B80" s="3"/>
      <c r="C80" s="3"/>
      <c r="D80" s="3"/>
      <c r="E80" s="3"/>
      <c r="F80" s="3"/>
    </row>
    <row r="81" ht="15.75" customHeight="1">
      <c r="A81" s="3"/>
      <c r="B81" s="3"/>
      <c r="C81" s="3"/>
      <c r="D81" s="3"/>
      <c r="E81" s="3"/>
      <c r="F81" s="3"/>
    </row>
    <row r="82" ht="15.75" customHeight="1">
      <c r="A82" s="3"/>
      <c r="B82" s="3"/>
      <c r="C82" s="3"/>
      <c r="D82" s="3"/>
      <c r="E82" s="3"/>
      <c r="F82" s="3"/>
    </row>
    <row r="83" ht="15.75" customHeight="1">
      <c r="A83" s="3"/>
      <c r="B83" s="3"/>
      <c r="C83" s="3"/>
      <c r="D83" s="3"/>
      <c r="E83" s="3"/>
      <c r="F83" s="3"/>
    </row>
    <row r="84" ht="15.75" customHeight="1">
      <c r="A84" s="3"/>
      <c r="B84" s="3"/>
      <c r="C84" s="3"/>
      <c r="D84" s="3"/>
      <c r="E84" s="3"/>
      <c r="F84" s="3"/>
    </row>
    <row r="85" ht="15.75" customHeight="1">
      <c r="A85" s="3"/>
      <c r="B85" s="3"/>
      <c r="C85" s="3"/>
      <c r="D85" s="3"/>
      <c r="E85" s="3"/>
      <c r="F85" s="3"/>
    </row>
    <row r="86" ht="15.75" customHeight="1">
      <c r="A86" s="3"/>
      <c r="B86" s="3"/>
      <c r="C86" s="3"/>
      <c r="D86" s="3"/>
      <c r="E86" s="3"/>
      <c r="F86" s="3"/>
    </row>
    <row r="87" ht="15.75" customHeight="1">
      <c r="A87" s="3"/>
      <c r="B87" s="3"/>
      <c r="C87" s="3"/>
      <c r="D87" s="3"/>
      <c r="E87" s="3"/>
      <c r="F87" s="3"/>
    </row>
    <row r="88" ht="15.75" customHeight="1">
      <c r="A88" s="3"/>
      <c r="B88" s="3"/>
      <c r="C88" s="3"/>
      <c r="D88" s="3"/>
      <c r="E88" s="3"/>
      <c r="F88" s="3"/>
    </row>
    <row r="89" ht="15.75" customHeight="1">
      <c r="A89" s="3"/>
      <c r="B89" s="3"/>
      <c r="C89" s="3"/>
      <c r="D89" s="3"/>
      <c r="E89" s="3"/>
      <c r="F89" s="3"/>
    </row>
    <row r="90" ht="15.75" customHeight="1">
      <c r="A90" s="3"/>
      <c r="B90" s="3"/>
      <c r="C90" s="3"/>
      <c r="D90" s="3"/>
      <c r="E90" s="3"/>
      <c r="F90" s="3"/>
    </row>
    <row r="91" ht="15.75" customHeight="1">
      <c r="A91" s="3"/>
      <c r="B91" s="3"/>
      <c r="C91" s="3"/>
      <c r="D91" s="3"/>
      <c r="E91" s="3"/>
      <c r="F91" s="3"/>
    </row>
    <row r="92" ht="15.75" customHeight="1">
      <c r="A92" s="3"/>
      <c r="B92" s="3"/>
      <c r="C92" s="3"/>
      <c r="D92" s="3"/>
      <c r="E92" s="3"/>
      <c r="F92" s="3"/>
    </row>
    <row r="93" ht="15.75" customHeight="1">
      <c r="A93" s="3"/>
      <c r="B93" s="3"/>
      <c r="C93" s="3"/>
      <c r="D93" s="3"/>
      <c r="E93" s="3"/>
      <c r="F93" s="3"/>
    </row>
    <row r="94" ht="15.75" customHeight="1">
      <c r="A94" s="3"/>
      <c r="B94" s="3"/>
      <c r="C94" s="3"/>
      <c r="D94" s="3"/>
      <c r="E94" s="3"/>
      <c r="F94" s="3"/>
    </row>
    <row r="95" ht="15.75" customHeight="1">
      <c r="A95" s="3"/>
      <c r="B95" s="3"/>
      <c r="C95" s="3"/>
      <c r="D95" s="3"/>
      <c r="E95" s="3"/>
      <c r="F95" s="3"/>
    </row>
    <row r="96" ht="15.75" customHeight="1">
      <c r="A96" s="3"/>
      <c r="B96" s="3"/>
      <c r="C96" s="3"/>
      <c r="D96" s="3"/>
      <c r="E96" s="3"/>
      <c r="F96" s="3"/>
    </row>
    <row r="97" ht="15.75" customHeight="1">
      <c r="A97" s="3"/>
      <c r="B97" s="3"/>
      <c r="C97" s="3"/>
      <c r="D97" s="3"/>
      <c r="E97" s="3"/>
      <c r="F97" s="3"/>
    </row>
    <row r="98" ht="15.75" customHeight="1">
      <c r="A98" s="3"/>
      <c r="B98" s="3"/>
      <c r="C98" s="3"/>
      <c r="D98" s="3"/>
      <c r="E98" s="3"/>
      <c r="F98" s="3"/>
    </row>
    <row r="99" ht="15.75" customHeight="1">
      <c r="A99" s="3"/>
      <c r="B99" s="3"/>
      <c r="C99" s="3"/>
      <c r="D99" s="3"/>
      <c r="E99" s="3"/>
      <c r="F99" s="3"/>
    </row>
    <row r="100" ht="15.75" customHeight="1">
      <c r="A100" s="3"/>
      <c r="B100" s="3"/>
      <c r="C100" s="3"/>
      <c r="D100" s="3"/>
      <c r="E100" s="3"/>
      <c r="F100" s="3"/>
    </row>
  </sheetData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5" width="12.0"/>
    <col customWidth="1" min="6" max="11" width="8.71"/>
  </cols>
  <sheetData>
    <row r="1" ht="15.75" customHeight="1">
      <c r="A1" s="1" t="s">
        <v>13</v>
      </c>
    </row>
    <row r="2" ht="15.0" customHeight="1">
      <c r="A2" s="2" t="s">
        <v>14</v>
      </c>
    </row>
    <row r="3">
      <c r="A3" s="3"/>
      <c r="B3" s="3"/>
      <c r="C3" s="3"/>
      <c r="D3" s="3"/>
      <c r="E3" s="3"/>
    </row>
    <row r="4" ht="15.0" customHeight="1">
      <c r="A4" s="4" t="s">
        <v>2</v>
      </c>
      <c r="B4" s="4" t="s">
        <v>15</v>
      </c>
      <c r="C4" s="4" t="s">
        <v>16</v>
      </c>
      <c r="D4" s="4" t="s">
        <v>17</v>
      </c>
      <c r="E4" s="4" t="s">
        <v>18</v>
      </c>
    </row>
    <row r="5" ht="15.0" customHeight="1">
      <c r="A5" s="7" t="str">
        <f>'Raw Data'!A5</f>
        <v>2021</v>
      </c>
      <c r="B5" s="8" t="str">
        <f>'Raw Data'!D5/'Raw Data'!C5*365</f>
        <v>46.9</v>
      </c>
      <c r="C5" s="8" t="str">
        <f>'Raw Data'!E5/'Raw Data'!B5*365</f>
        <v>14.7</v>
      </c>
      <c r="D5" s="8" t="str">
        <f>'Raw Data'!F5/'Raw Data'!C5*365</f>
        <v>125.0</v>
      </c>
      <c r="E5" s="8" t="str">
        <f t="shared" ref="E5:E9" si="1">B5+C5-D5</f>
        <v>(63.5)</v>
      </c>
    </row>
    <row r="6" ht="15.0" customHeight="1">
      <c r="A6" s="7" t="str">
        <f>'Raw Data'!A6</f>
        <v>2022</v>
      </c>
      <c r="B6" s="8" t="str">
        <f>'Raw Data'!D6/'Raw Data'!C6*365</f>
        <v>45.8</v>
      </c>
      <c r="C6" s="8" t="str">
        <f>'Raw Data'!E6/'Raw Data'!B6*365</f>
        <v>15.3</v>
      </c>
      <c r="D6" s="8" t="str">
        <f>'Raw Data'!F6/'Raw Data'!C6*365</f>
        <v>119.3</v>
      </c>
      <c r="E6" s="8" t="str">
        <f t="shared" si="1"/>
        <v>(58.2)</v>
      </c>
    </row>
    <row r="7" ht="15.0" customHeight="1">
      <c r="A7" s="7" t="str">
        <f>'Raw Data'!A7</f>
        <v>2023</v>
      </c>
      <c r="B7" s="8" t="str">
        <f>'Raw Data'!D7/'Raw Data'!C7*365</f>
        <v>43.0</v>
      </c>
      <c r="C7" s="8" t="str">
        <f>'Raw Data'!E7/'Raw Data'!B7*365</f>
        <v>14.9</v>
      </c>
      <c r="D7" s="8" t="str">
        <f>'Raw Data'!F7/'Raw Data'!C7*365</f>
        <v>113.2</v>
      </c>
      <c r="E7" s="8" t="str">
        <f t="shared" si="1"/>
        <v>(55.3)</v>
      </c>
    </row>
    <row r="8" ht="15.0" customHeight="1">
      <c r="A8" s="7" t="str">
        <f>'Raw Data'!A8</f>
        <v>2024</v>
      </c>
      <c r="B8" s="8" t="str">
        <f>'Raw Data'!D8/'Raw Data'!C8*365</f>
        <v>46.5</v>
      </c>
      <c r="C8" s="8" t="str">
        <f>'Raw Data'!E8/'Raw Data'!B8*365</f>
        <v>15.9</v>
      </c>
      <c r="D8" s="8" t="str">
        <f>'Raw Data'!F8/'Raw Data'!C8*365</f>
        <v>123.9</v>
      </c>
      <c r="E8" s="8" t="str">
        <f t="shared" si="1"/>
        <v>(61.5)</v>
      </c>
    </row>
    <row r="9" ht="15.0" customHeight="1">
      <c r="A9" s="7" t="str">
        <f>'Raw Data'!A9</f>
        <v>2025</v>
      </c>
      <c r="B9" s="8" t="str">
        <f>'Raw Data'!D9/'Raw Data'!C9*365</f>
        <v>47.3</v>
      </c>
      <c r="C9" s="8" t="str">
        <f>'Raw Data'!E9/'Raw Data'!B9*365</f>
        <v>16.3</v>
      </c>
      <c r="D9" s="8" t="str">
        <f>'Raw Data'!F9/'Raw Data'!C9*365</f>
        <v>135.4</v>
      </c>
      <c r="E9" s="8" t="str">
        <f t="shared" si="1"/>
        <v>(71.8)</v>
      </c>
    </row>
    <row r="10">
      <c r="A10" s="3"/>
      <c r="B10" s="3"/>
      <c r="C10" s="3"/>
      <c r="D10" s="3"/>
      <c r="E10" s="3"/>
    </row>
    <row r="11">
      <c r="A11" s="3"/>
      <c r="B11" s="3"/>
      <c r="C11" s="3"/>
      <c r="D11" s="3"/>
      <c r="E11" s="3"/>
    </row>
    <row r="12">
      <c r="A12" s="3"/>
      <c r="B12" s="3"/>
      <c r="C12" s="3"/>
      <c r="D12" s="3"/>
      <c r="E12" s="3"/>
    </row>
    <row r="13">
      <c r="A13" s="3"/>
      <c r="B13" s="3"/>
      <c r="C13" s="3"/>
      <c r="D13" s="3"/>
      <c r="E13" s="3"/>
    </row>
    <row r="14">
      <c r="A14" s="3"/>
      <c r="B14" s="3"/>
      <c r="C14" s="3"/>
      <c r="D14" s="3"/>
      <c r="E14" s="3"/>
    </row>
    <row r="15">
      <c r="A15" s="3"/>
      <c r="B15" s="3"/>
      <c r="C15" s="3"/>
      <c r="D15" s="3"/>
      <c r="E15" s="3"/>
    </row>
    <row r="16">
      <c r="A16" s="3"/>
      <c r="B16" s="3"/>
      <c r="C16" s="3"/>
      <c r="D16" s="3"/>
      <c r="E16" s="3"/>
    </row>
    <row r="17">
      <c r="A17" s="3"/>
      <c r="B17" s="3"/>
      <c r="C17" s="3"/>
      <c r="D17" s="3"/>
      <c r="E17" s="3"/>
    </row>
    <row r="18">
      <c r="A18" s="3"/>
      <c r="B18" s="3"/>
      <c r="C18" s="3"/>
      <c r="D18" s="3"/>
      <c r="E18" s="3"/>
    </row>
    <row r="19">
      <c r="A19" s="3"/>
      <c r="B19" s="3"/>
      <c r="C19" s="3"/>
      <c r="D19" s="3"/>
      <c r="E19" s="3"/>
    </row>
    <row r="20">
      <c r="A20" s="3"/>
      <c r="B20" s="3"/>
      <c r="C20" s="3"/>
      <c r="D20" s="3"/>
      <c r="E20" s="3"/>
    </row>
    <row r="21" ht="15.75" customHeight="1">
      <c r="A21" s="3"/>
      <c r="B21" s="3"/>
      <c r="C21" s="3"/>
      <c r="D21" s="3"/>
      <c r="E21" s="3"/>
    </row>
    <row r="22" ht="15.75" customHeight="1">
      <c r="A22" s="3"/>
      <c r="B22" s="3"/>
      <c r="C22" s="3"/>
      <c r="D22" s="3"/>
      <c r="E22" s="3"/>
    </row>
    <row r="23" ht="15.75" customHeight="1">
      <c r="A23" s="3"/>
      <c r="B23" s="3"/>
      <c r="C23" s="3"/>
      <c r="D23" s="3"/>
      <c r="E23" s="3"/>
    </row>
    <row r="24" ht="15.75" customHeight="1">
      <c r="A24" s="3"/>
      <c r="B24" s="3"/>
      <c r="C24" s="3"/>
      <c r="D24" s="3"/>
      <c r="E24" s="3"/>
    </row>
    <row r="25" ht="15.75" customHeight="1">
      <c r="A25" s="3"/>
      <c r="B25" s="3"/>
      <c r="C25" s="3"/>
      <c r="D25" s="3"/>
      <c r="E25" s="3"/>
    </row>
    <row r="26" ht="15.75" customHeight="1">
      <c r="A26" s="3"/>
      <c r="B26" s="3"/>
      <c r="C26" s="3"/>
      <c r="D26" s="3"/>
      <c r="E26" s="3"/>
    </row>
    <row r="27" ht="15.75" customHeight="1">
      <c r="A27" s="3"/>
      <c r="B27" s="3"/>
      <c r="C27" s="3"/>
      <c r="D27" s="3"/>
      <c r="E27" s="3"/>
    </row>
    <row r="28" ht="15.75" customHeight="1">
      <c r="A28" s="3"/>
      <c r="B28" s="3"/>
      <c r="C28" s="3"/>
      <c r="D28" s="3"/>
      <c r="E28" s="3"/>
    </row>
    <row r="29" ht="15.75" customHeight="1">
      <c r="A29" s="3"/>
      <c r="B29" s="3"/>
      <c r="C29" s="3"/>
      <c r="D29" s="3"/>
      <c r="E29" s="3"/>
    </row>
    <row r="30" ht="15.75" customHeight="1">
      <c r="A30" s="3"/>
      <c r="B30" s="3"/>
      <c r="C30" s="3"/>
      <c r="D30" s="3"/>
      <c r="E30" s="3"/>
    </row>
    <row r="31" ht="15.75" customHeight="1">
      <c r="A31" s="3"/>
      <c r="B31" s="3"/>
      <c r="C31" s="3"/>
      <c r="D31" s="3"/>
      <c r="E31" s="3"/>
    </row>
    <row r="32" ht="15.75" customHeight="1">
      <c r="A32" s="3"/>
      <c r="B32" s="3"/>
      <c r="C32" s="3"/>
      <c r="D32" s="3"/>
      <c r="E32" s="3"/>
    </row>
    <row r="33" ht="15.75" customHeight="1">
      <c r="A33" s="3"/>
      <c r="B33" s="3"/>
      <c r="C33" s="3"/>
      <c r="D33" s="3"/>
      <c r="E33" s="3"/>
    </row>
    <row r="34" ht="15.75" customHeight="1">
      <c r="A34" s="3"/>
      <c r="B34" s="3"/>
      <c r="C34" s="3"/>
      <c r="D34" s="3"/>
      <c r="E34" s="3"/>
    </row>
    <row r="35" ht="15.75" customHeight="1">
      <c r="A35" s="3"/>
      <c r="B35" s="3"/>
      <c r="C35" s="3"/>
      <c r="D35" s="3"/>
      <c r="E35" s="3"/>
    </row>
    <row r="36" ht="15.75" customHeight="1">
      <c r="A36" s="3"/>
      <c r="B36" s="3"/>
      <c r="C36" s="3"/>
      <c r="D36" s="3"/>
      <c r="E36" s="3"/>
    </row>
    <row r="37" ht="15.75" customHeight="1">
      <c r="A37" s="3"/>
      <c r="B37" s="3"/>
      <c r="C37" s="3"/>
      <c r="D37" s="3"/>
      <c r="E37" s="3"/>
    </row>
    <row r="38" ht="15.75" customHeight="1">
      <c r="A38" s="3"/>
      <c r="B38" s="3"/>
      <c r="C38" s="3"/>
      <c r="D38" s="3"/>
      <c r="E38" s="3"/>
    </row>
    <row r="39" ht="15.75" customHeight="1">
      <c r="A39" s="3"/>
      <c r="B39" s="3"/>
      <c r="C39" s="3"/>
      <c r="D39" s="3"/>
      <c r="E39" s="3"/>
    </row>
    <row r="40" ht="15.75" customHeight="1">
      <c r="A40" s="3"/>
      <c r="B40" s="3"/>
      <c r="C40" s="3"/>
      <c r="D40" s="3"/>
      <c r="E40" s="3"/>
    </row>
    <row r="41" ht="15.75" customHeight="1">
      <c r="A41" s="3"/>
      <c r="B41" s="3"/>
      <c r="C41" s="3"/>
      <c r="D41" s="3"/>
      <c r="E41" s="3"/>
    </row>
    <row r="42" ht="15.75" customHeight="1">
      <c r="A42" s="3"/>
      <c r="B42" s="3"/>
      <c r="C42" s="3"/>
      <c r="D42" s="3"/>
      <c r="E42" s="3"/>
    </row>
    <row r="43" ht="15.75" customHeight="1">
      <c r="A43" s="3"/>
      <c r="B43" s="3"/>
      <c r="C43" s="3"/>
      <c r="D43" s="3"/>
      <c r="E43" s="3"/>
    </row>
    <row r="44" ht="15.75" customHeight="1">
      <c r="A44" s="3"/>
      <c r="B44" s="3"/>
      <c r="C44" s="3"/>
      <c r="D44" s="3"/>
      <c r="E44" s="3"/>
    </row>
    <row r="45" ht="15.75" customHeight="1">
      <c r="A45" s="3"/>
      <c r="B45" s="3"/>
      <c r="C45" s="3"/>
      <c r="D45" s="3"/>
      <c r="E45" s="3"/>
    </row>
    <row r="46" ht="15.75" customHeight="1">
      <c r="A46" s="3"/>
      <c r="B46" s="3"/>
      <c r="C46" s="3"/>
      <c r="D46" s="3"/>
      <c r="E46" s="3"/>
    </row>
    <row r="47" ht="15.75" customHeight="1">
      <c r="A47" s="3"/>
      <c r="B47" s="3"/>
      <c r="C47" s="3"/>
      <c r="D47" s="3"/>
      <c r="E47" s="3"/>
    </row>
    <row r="48" ht="15.75" customHeight="1">
      <c r="A48" s="3"/>
      <c r="B48" s="3"/>
      <c r="C48" s="3"/>
      <c r="D48" s="3"/>
      <c r="E48" s="3"/>
    </row>
    <row r="49" ht="15.75" customHeight="1">
      <c r="A49" s="3"/>
      <c r="B49" s="3"/>
      <c r="C49" s="3"/>
      <c r="D49" s="3"/>
      <c r="E49" s="3"/>
    </row>
    <row r="50" ht="15.75" customHeight="1">
      <c r="A50" s="3"/>
      <c r="B50" s="3"/>
      <c r="C50" s="3"/>
      <c r="D50" s="3"/>
      <c r="E50" s="3"/>
    </row>
    <row r="51" ht="15.75" customHeight="1">
      <c r="A51" s="3"/>
      <c r="B51" s="3"/>
      <c r="C51" s="3"/>
      <c r="D51" s="3"/>
      <c r="E51" s="3"/>
    </row>
    <row r="52" ht="15.75" customHeight="1">
      <c r="A52" s="3"/>
      <c r="B52" s="3"/>
      <c r="C52" s="3"/>
      <c r="D52" s="3"/>
      <c r="E52" s="3"/>
    </row>
    <row r="53" ht="15.75" customHeight="1">
      <c r="A53" s="3"/>
      <c r="B53" s="3"/>
      <c r="C53" s="3"/>
      <c r="D53" s="3"/>
      <c r="E53" s="3"/>
    </row>
    <row r="54" ht="15.75" customHeight="1">
      <c r="A54" s="3"/>
      <c r="B54" s="3"/>
      <c r="C54" s="3"/>
      <c r="D54" s="3"/>
      <c r="E54" s="3"/>
    </row>
    <row r="55" ht="15.75" customHeight="1">
      <c r="A55" s="3"/>
      <c r="B55" s="3"/>
      <c r="C55" s="3"/>
      <c r="D55" s="3"/>
      <c r="E55" s="3"/>
    </row>
    <row r="56" ht="15.75" customHeight="1">
      <c r="A56" s="3"/>
      <c r="B56" s="3"/>
      <c r="C56" s="3"/>
      <c r="D56" s="3"/>
      <c r="E56" s="3"/>
    </row>
    <row r="57" ht="15.75" customHeight="1">
      <c r="A57" s="3"/>
      <c r="B57" s="3"/>
      <c r="C57" s="3"/>
      <c r="D57" s="3"/>
      <c r="E57" s="3"/>
    </row>
    <row r="58" ht="15.75" customHeight="1">
      <c r="A58" s="3"/>
      <c r="B58" s="3"/>
      <c r="C58" s="3"/>
      <c r="D58" s="3"/>
      <c r="E58" s="3"/>
    </row>
    <row r="59" ht="15.75" customHeight="1">
      <c r="A59" s="3"/>
      <c r="B59" s="3"/>
      <c r="C59" s="3"/>
      <c r="D59" s="3"/>
      <c r="E59" s="3"/>
    </row>
    <row r="60" ht="15.75" customHeight="1">
      <c r="A60" s="3"/>
      <c r="B60" s="3"/>
      <c r="C60" s="3"/>
      <c r="D60" s="3"/>
      <c r="E60" s="3"/>
    </row>
    <row r="61" ht="15.75" customHeight="1">
      <c r="A61" s="3"/>
      <c r="B61" s="3"/>
      <c r="C61" s="3"/>
      <c r="D61" s="3"/>
      <c r="E61" s="3"/>
    </row>
    <row r="62" ht="15.75" customHeight="1">
      <c r="A62" s="3"/>
      <c r="B62" s="3"/>
      <c r="C62" s="3"/>
      <c r="D62" s="3"/>
      <c r="E62" s="3"/>
    </row>
    <row r="63" ht="15.75" customHeight="1">
      <c r="A63" s="3"/>
      <c r="B63" s="3"/>
      <c r="C63" s="3"/>
      <c r="D63" s="3"/>
      <c r="E63" s="3"/>
    </row>
    <row r="64" ht="15.75" customHeight="1">
      <c r="A64" s="3"/>
      <c r="B64" s="3"/>
      <c r="C64" s="3"/>
      <c r="D64" s="3"/>
      <c r="E64" s="3"/>
    </row>
    <row r="65" ht="15.75" customHeight="1">
      <c r="A65" s="3"/>
      <c r="B65" s="3"/>
      <c r="C65" s="3"/>
      <c r="D65" s="3"/>
      <c r="E65" s="3"/>
    </row>
    <row r="66" ht="15.75" customHeight="1">
      <c r="A66" s="3"/>
      <c r="B66" s="3"/>
      <c r="C66" s="3"/>
      <c r="D66" s="3"/>
      <c r="E66" s="3"/>
    </row>
    <row r="67" ht="15.75" customHeight="1">
      <c r="A67" s="3"/>
      <c r="B67" s="3"/>
      <c r="C67" s="3"/>
      <c r="D67" s="3"/>
      <c r="E67" s="3"/>
    </row>
    <row r="68" ht="15.75" customHeight="1">
      <c r="A68" s="3"/>
      <c r="B68" s="3"/>
      <c r="C68" s="3"/>
      <c r="D68" s="3"/>
      <c r="E68" s="3"/>
    </row>
    <row r="69" ht="15.75" customHeight="1">
      <c r="A69" s="3"/>
      <c r="B69" s="3"/>
      <c r="C69" s="3"/>
      <c r="D69" s="3"/>
      <c r="E69" s="3"/>
    </row>
    <row r="70" ht="15.75" customHeight="1">
      <c r="A70" s="3"/>
      <c r="B70" s="3"/>
      <c r="C70" s="3"/>
      <c r="D70" s="3"/>
      <c r="E70" s="3"/>
    </row>
    <row r="71" ht="15.75" customHeight="1">
      <c r="A71" s="3"/>
      <c r="B71" s="3"/>
      <c r="C71" s="3"/>
      <c r="D71" s="3"/>
      <c r="E71" s="3"/>
    </row>
    <row r="72" ht="15.75" customHeight="1">
      <c r="A72" s="3"/>
      <c r="B72" s="3"/>
      <c r="C72" s="3"/>
      <c r="D72" s="3"/>
      <c r="E72" s="3"/>
    </row>
    <row r="73" ht="15.75" customHeight="1">
      <c r="A73" s="3"/>
      <c r="B73" s="3"/>
      <c r="C73" s="3"/>
      <c r="D73" s="3"/>
      <c r="E73" s="3"/>
    </row>
    <row r="74" ht="15.75" customHeight="1">
      <c r="A74" s="3"/>
      <c r="B74" s="3"/>
      <c r="C74" s="3"/>
      <c r="D74" s="3"/>
      <c r="E74" s="3"/>
    </row>
    <row r="75" ht="15.75" customHeight="1">
      <c r="A75" s="3"/>
      <c r="B75" s="3"/>
      <c r="C75" s="3"/>
      <c r="D75" s="3"/>
      <c r="E75" s="3"/>
    </row>
    <row r="76" ht="15.75" customHeight="1">
      <c r="A76" s="3"/>
      <c r="B76" s="3"/>
      <c r="C76" s="3"/>
      <c r="D76" s="3"/>
      <c r="E76" s="3"/>
    </row>
    <row r="77" ht="15.75" customHeight="1">
      <c r="A77" s="3"/>
      <c r="B77" s="3"/>
      <c r="C77" s="3"/>
      <c r="D77" s="3"/>
      <c r="E77" s="3"/>
    </row>
    <row r="78" ht="15.75" customHeight="1">
      <c r="A78" s="3"/>
      <c r="B78" s="3"/>
      <c r="C78" s="3"/>
      <c r="D78" s="3"/>
      <c r="E78" s="3"/>
    </row>
    <row r="79" ht="15.75" customHeight="1">
      <c r="A79" s="3"/>
      <c r="B79" s="3"/>
      <c r="C79" s="3"/>
      <c r="D79" s="3"/>
      <c r="E79" s="3"/>
    </row>
    <row r="80" ht="15.75" customHeight="1">
      <c r="A80" s="3"/>
      <c r="B80" s="3"/>
      <c r="C80" s="3"/>
      <c r="D80" s="3"/>
      <c r="E80" s="3"/>
    </row>
    <row r="81" ht="15.75" customHeight="1">
      <c r="A81" s="3"/>
      <c r="B81" s="3"/>
      <c r="C81" s="3"/>
      <c r="D81" s="3"/>
      <c r="E81" s="3"/>
    </row>
    <row r="82" ht="15.75" customHeight="1">
      <c r="A82" s="3"/>
      <c r="B82" s="3"/>
      <c r="C82" s="3"/>
      <c r="D82" s="3"/>
      <c r="E82" s="3"/>
    </row>
    <row r="83" ht="15.75" customHeight="1">
      <c r="A83" s="3"/>
      <c r="B83" s="3"/>
      <c r="C83" s="3"/>
      <c r="D83" s="3"/>
      <c r="E83" s="3"/>
    </row>
    <row r="84" ht="15.75" customHeight="1">
      <c r="A84" s="3"/>
      <c r="B84" s="3"/>
      <c r="C84" s="3"/>
      <c r="D84" s="3"/>
      <c r="E84" s="3"/>
    </row>
    <row r="85" ht="15.75" customHeight="1">
      <c r="A85" s="3"/>
      <c r="B85" s="3"/>
      <c r="C85" s="3"/>
      <c r="D85" s="3"/>
      <c r="E85" s="3"/>
    </row>
    <row r="86" ht="15.75" customHeight="1">
      <c r="A86" s="3"/>
      <c r="B86" s="3"/>
      <c r="C86" s="3"/>
      <c r="D86" s="3"/>
      <c r="E86" s="3"/>
    </row>
    <row r="87" ht="15.75" customHeight="1">
      <c r="A87" s="3"/>
      <c r="B87" s="3"/>
      <c r="C87" s="3"/>
      <c r="D87" s="3"/>
      <c r="E87" s="3"/>
    </row>
    <row r="88" ht="15.75" customHeight="1">
      <c r="A88" s="3"/>
      <c r="B88" s="3"/>
      <c r="C88" s="3"/>
      <c r="D88" s="3"/>
      <c r="E88" s="3"/>
    </row>
    <row r="89" ht="15.75" customHeight="1">
      <c r="A89" s="3"/>
      <c r="B89" s="3"/>
      <c r="C89" s="3"/>
      <c r="D89" s="3"/>
      <c r="E89" s="3"/>
    </row>
    <row r="90" ht="15.75" customHeight="1">
      <c r="A90" s="3"/>
      <c r="B90" s="3"/>
      <c r="C90" s="3"/>
      <c r="D90" s="3"/>
      <c r="E90" s="3"/>
    </row>
    <row r="91" ht="15.75" customHeight="1">
      <c r="A91" s="3"/>
      <c r="B91" s="3"/>
      <c r="C91" s="3"/>
      <c r="D91" s="3"/>
      <c r="E91" s="3"/>
    </row>
    <row r="92" ht="15.75" customHeight="1">
      <c r="A92" s="3"/>
      <c r="B92" s="3"/>
      <c r="C92" s="3"/>
      <c r="D92" s="3"/>
      <c r="E92" s="3"/>
    </row>
    <row r="93" ht="15.75" customHeight="1">
      <c r="A93" s="3"/>
      <c r="B93" s="3"/>
      <c r="C93" s="3"/>
      <c r="D93" s="3"/>
      <c r="E93" s="3"/>
    </row>
    <row r="94" ht="15.75" customHeight="1">
      <c r="A94" s="3"/>
      <c r="B94" s="3"/>
      <c r="C94" s="3"/>
      <c r="D94" s="3"/>
      <c r="E94" s="3"/>
    </row>
    <row r="95" ht="15.75" customHeight="1">
      <c r="A95" s="3"/>
      <c r="B95" s="3"/>
      <c r="C95" s="3"/>
      <c r="D95" s="3"/>
      <c r="E95" s="3"/>
    </row>
    <row r="96" ht="15.75" customHeight="1">
      <c r="A96" s="3"/>
      <c r="B96" s="3"/>
      <c r="C96" s="3"/>
      <c r="D96" s="3"/>
      <c r="E96" s="3"/>
    </row>
    <row r="97" ht="15.75" customHeight="1">
      <c r="A97" s="3"/>
      <c r="B97" s="3"/>
      <c r="C97" s="3"/>
      <c r="D97" s="3"/>
      <c r="E97" s="3"/>
    </row>
    <row r="98" ht="15.75" customHeight="1">
      <c r="A98" s="3"/>
      <c r="B98" s="3"/>
      <c r="C98" s="3"/>
      <c r="D98" s="3"/>
      <c r="E98" s="3"/>
    </row>
    <row r="99" ht="15.75" customHeight="1">
      <c r="A99" s="3"/>
      <c r="B99" s="3"/>
      <c r="C99" s="3"/>
      <c r="D99" s="3"/>
      <c r="E99" s="3"/>
    </row>
    <row r="100" ht="15.75" customHeight="1">
      <c r="A100" s="3"/>
      <c r="B100" s="3"/>
      <c r="C100" s="3"/>
      <c r="D100" s="3"/>
      <c r="E100" s="3"/>
    </row>
  </sheetData>
  <mergeCells count="2">
    <mergeCell ref="A1:E1"/>
    <mergeCell ref="A2:E2"/>
  </mergeCells>
  <printOptions/>
  <pageMargins bottom="1.0" footer="0.0" header="0.0" left="0.75" right="0.75" top="1.0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4.0"/>
    <col customWidth="1" min="3" max="5" width="12.0"/>
    <col customWidth="1" min="6" max="11" width="8.71"/>
  </cols>
  <sheetData>
    <row r="1" ht="15.75" customHeight="1">
      <c r="A1" s="1" t="s">
        <v>19</v>
      </c>
    </row>
    <row r="2" ht="15.0" customHeight="1">
      <c r="A2" s="2" t="s">
        <v>20</v>
      </c>
    </row>
    <row r="3">
      <c r="A3" s="3"/>
      <c r="B3" s="3"/>
      <c r="C3" s="3"/>
      <c r="D3" s="3"/>
      <c r="E3" s="3"/>
    </row>
    <row r="4" ht="15.0" customHeight="1">
      <c r="A4" s="9" t="s">
        <v>21</v>
      </c>
      <c r="B4" s="3"/>
      <c r="C4" s="3"/>
      <c r="D4" s="3"/>
      <c r="E4" s="3"/>
    </row>
    <row r="5" ht="15.0" customHeight="1">
      <c r="A5" s="10" t="s">
        <v>22</v>
      </c>
      <c r="B5" s="11" t="str">
        <f>('Raw Data'!B9/'Raw Data'!B5)^(1/4)-1</f>
        <v>7.6%</v>
      </c>
      <c r="C5" s="3"/>
      <c r="D5" s="3"/>
      <c r="E5" s="3"/>
    </row>
    <row r="6" ht="15.0" customHeight="1">
      <c r="A6" s="10" t="s">
        <v>23</v>
      </c>
      <c r="B6" s="12" t="str">
        <f>AVERAGE('WC Calculations'!B7:B9)</f>
        <v>45.6</v>
      </c>
      <c r="C6" s="3"/>
      <c r="D6" s="3"/>
      <c r="E6" s="3"/>
    </row>
    <row r="7" ht="15.0" customHeight="1">
      <c r="A7" s="10" t="s">
        <v>24</v>
      </c>
      <c r="B7" s="12" t="str">
        <f>AVERAGE('WC Calculations'!C7:C9)</f>
        <v>15.7</v>
      </c>
      <c r="C7" s="3"/>
      <c r="D7" s="3"/>
      <c r="E7" s="3"/>
    </row>
    <row r="8" ht="15.0" customHeight="1">
      <c r="A8" s="10" t="s">
        <v>25</v>
      </c>
      <c r="B8" s="12" t="str">
        <f>AVERAGE('WC Calculations'!D7:D9)</f>
        <v>124.2</v>
      </c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 ht="15.0" customHeight="1">
      <c r="A11" s="4" t="s">
        <v>2</v>
      </c>
      <c r="B11" s="4" t="s">
        <v>3</v>
      </c>
      <c r="C11" s="4" t="s">
        <v>15</v>
      </c>
      <c r="D11" s="4" t="s">
        <v>16</v>
      </c>
      <c r="E11" s="4" t="s">
        <v>17</v>
      </c>
    </row>
    <row r="12" ht="15.0" customHeight="1">
      <c r="A12" s="5" t="s">
        <v>26</v>
      </c>
      <c r="B12" s="13" t="str">
        <f>'Raw Data'!B9*(1+$B$5)</f>
        <v>67,940</v>
      </c>
      <c r="C12" s="8" t="str">
        <f t="shared" ref="C12:C14" si="1">$B$6</f>
        <v>45.6</v>
      </c>
      <c r="D12" s="8" t="str">
        <f t="shared" ref="D12:D14" si="2">$B$7</f>
        <v>15.7</v>
      </c>
      <c r="E12" s="8" t="str">
        <f t="shared" ref="E12:E14" si="3">$B$8</f>
        <v>124.2</v>
      </c>
    </row>
    <row r="13" ht="15.0" customHeight="1">
      <c r="A13" s="5" t="s">
        <v>27</v>
      </c>
      <c r="B13" s="13" t="str">
        <f t="shared" ref="B13:B14" si="4">B12*(1+$B$5)</f>
        <v>73,128</v>
      </c>
      <c r="C13" s="8" t="str">
        <f t="shared" si="1"/>
        <v>45.6</v>
      </c>
      <c r="D13" s="8" t="str">
        <f t="shared" si="2"/>
        <v>15.7</v>
      </c>
      <c r="E13" s="8" t="str">
        <f t="shared" si="3"/>
        <v>124.2</v>
      </c>
    </row>
    <row r="14" ht="15.0" customHeight="1">
      <c r="A14" s="5" t="s">
        <v>28</v>
      </c>
      <c r="B14" s="13" t="str">
        <f t="shared" si="4"/>
        <v>78,711</v>
      </c>
      <c r="C14" s="8" t="str">
        <f t="shared" si="1"/>
        <v>45.6</v>
      </c>
      <c r="D14" s="8" t="str">
        <f t="shared" si="2"/>
        <v>15.7</v>
      </c>
      <c r="E14" s="8" t="str">
        <f t="shared" si="3"/>
        <v>124.2</v>
      </c>
    </row>
    <row r="15">
      <c r="A15" s="3"/>
      <c r="B15" s="3"/>
      <c r="C15" s="3"/>
      <c r="D15" s="3"/>
      <c r="E15" s="3"/>
    </row>
    <row r="16">
      <c r="A16" s="3"/>
      <c r="B16" s="3"/>
      <c r="C16" s="3"/>
      <c r="D16" s="3"/>
      <c r="E16" s="3"/>
    </row>
    <row r="17">
      <c r="A17" s="3"/>
      <c r="B17" s="3"/>
      <c r="C17" s="3"/>
      <c r="D17" s="3"/>
      <c r="E17" s="3"/>
    </row>
    <row r="18">
      <c r="A18" s="3"/>
      <c r="B18" s="3"/>
      <c r="C18" s="3"/>
      <c r="D18" s="3"/>
      <c r="E18" s="3"/>
    </row>
    <row r="19">
      <c r="A19" s="3"/>
      <c r="B19" s="3"/>
      <c r="C19" s="3"/>
      <c r="D19" s="3"/>
      <c r="E19" s="3"/>
    </row>
    <row r="20">
      <c r="A20" s="3"/>
      <c r="B20" s="3"/>
      <c r="C20" s="3"/>
      <c r="D20" s="3"/>
      <c r="E20" s="3"/>
    </row>
    <row r="21" ht="15.75" customHeight="1">
      <c r="A21" s="3"/>
      <c r="B21" s="3"/>
      <c r="C21" s="3"/>
      <c r="D21" s="3"/>
      <c r="E21" s="3"/>
    </row>
    <row r="22" ht="15.75" customHeight="1">
      <c r="A22" s="3"/>
      <c r="B22" s="3"/>
      <c r="C22" s="3"/>
      <c r="D22" s="3"/>
      <c r="E22" s="3"/>
    </row>
    <row r="23" ht="15.75" customHeight="1">
      <c r="A23" s="3"/>
      <c r="B23" s="3"/>
      <c r="C23" s="3"/>
      <c r="D23" s="3"/>
      <c r="E23" s="3"/>
    </row>
    <row r="24" ht="15.75" customHeight="1">
      <c r="A24" s="3"/>
      <c r="B24" s="3"/>
      <c r="C24" s="3"/>
      <c r="D24" s="3"/>
      <c r="E24" s="3"/>
    </row>
    <row r="25" ht="15.75" customHeight="1">
      <c r="A25" s="3"/>
      <c r="B25" s="3"/>
      <c r="C25" s="3"/>
      <c r="D25" s="3"/>
      <c r="E25" s="3"/>
    </row>
    <row r="26" ht="15.75" customHeight="1">
      <c r="A26" s="3"/>
      <c r="B26" s="3"/>
      <c r="C26" s="3"/>
      <c r="D26" s="3"/>
      <c r="E26" s="3"/>
    </row>
    <row r="27" ht="15.75" customHeight="1">
      <c r="A27" s="3"/>
      <c r="B27" s="3"/>
      <c r="C27" s="3"/>
      <c r="D27" s="3"/>
      <c r="E27" s="3"/>
    </row>
    <row r="28" ht="15.75" customHeight="1">
      <c r="A28" s="3"/>
      <c r="B28" s="3"/>
      <c r="C28" s="3"/>
      <c r="D28" s="3"/>
      <c r="E28" s="3"/>
    </row>
    <row r="29" ht="15.75" customHeight="1">
      <c r="A29" s="3"/>
      <c r="B29" s="3"/>
      <c r="C29" s="3"/>
      <c r="D29" s="3"/>
      <c r="E29" s="3"/>
    </row>
    <row r="30" ht="15.75" customHeight="1">
      <c r="A30" s="3"/>
      <c r="B30" s="3"/>
      <c r="C30" s="3"/>
      <c r="D30" s="3"/>
      <c r="E30" s="3"/>
    </row>
    <row r="31" ht="15.75" customHeight="1">
      <c r="A31" s="3"/>
      <c r="B31" s="3"/>
      <c r="C31" s="3"/>
      <c r="D31" s="3"/>
      <c r="E31" s="3"/>
    </row>
    <row r="32" ht="15.75" customHeight="1">
      <c r="A32" s="3"/>
      <c r="B32" s="3"/>
      <c r="C32" s="3"/>
      <c r="D32" s="3"/>
      <c r="E32" s="3"/>
    </row>
    <row r="33" ht="15.75" customHeight="1">
      <c r="A33" s="3"/>
      <c r="B33" s="3"/>
      <c r="C33" s="3"/>
      <c r="D33" s="3"/>
      <c r="E33" s="3"/>
    </row>
    <row r="34" ht="15.75" customHeight="1">
      <c r="A34" s="3"/>
      <c r="B34" s="3"/>
      <c r="C34" s="3"/>
      <c r="D34" s="3"/>
      <c r="E34" s="3"/>
    </row>
    <row r="35" ht="15.75" customHeight="1">
      <c r="A35" s="3"/>
      <c r="B35" s="3"/>
      <c r="C35" s="3"/>
      <c r="D35" s="3"/>
      <c r="E35" s="3"/>
    </row>
    <row r="36" ht="15.75" customHeight="1">
      <c r="A36" s="3"/>
      <c r="B36" s="3"/>
      <c r="C36" s="3"/>
      <c r="D36" s="3"/>
      <c r="E36" s="3"/>
    </row>
    <row r="37" ht="15.75" customHeight="1">
      <c r="A37" s="3"/>
      <c r="B37" s="3"/>
      <c r="C37" s="3"/>
      <c r="D37" s="3"/>
      <c r="E37" s="3"/>
    </row>
    <row r="38" ht="15.75" customHeight="1">
      <c r="A38" s="3"/>
      <c r="B38" s="3"/>
      <c r="C38" s="3"/>
      <c r="D38" s="3"/>
      <c r="E38" s="3"/>
    </row>
    <row r="39" ht="15.75" customHeight="1">
      <c r="A39" s="3"/>
      <c r="B39" s="3"/>
      <c r="C39" s="3"/>
      <c r="D39" s="3"/>
      <c r="E39" s="3"/>
    </row>
    <row r="40" ht="15.75" customHeight="1">
      <c r="A40" s="3"/>
      <c r="B40" s="3"/>
      <c r="C40" s="3"/>
      <c r="D40" s="3"/>
      <c r="E40" s="3"/>
    </row>
    <row r="41" ht="15.75" customHeight="1">
      <c r="A41" s="3"/>
      <c r="B41" s="3"/>
      <c r="C41" s="3"/>
      <c r="D41" s="3"/>
      <c r="E41" s="3"/>
    </row>
    <row r="42" ht="15.75" customHeight="1">
      <c r="A42" s="3"/>
      <c r="B42" s="3"/>
      <c r="C42" s="3"/>
      <c r="D42" s="3"/>
      <c r="E42" s="3"/>
    </row>
    <row r="43" ht="15.75" customHeight="1">
      <c r="A43" s="3"/>
      <c r="B43" s="3"/>
      <c r="C43" s="3"/>
      <c r="D43" s="3"/>
      <c r="E43" s="3"/>
    </row>
    <row r="44" ht="15.75" customHeight="1">
      <c r="A44" s="3"/>
      <c r="B44" s="3"/>
      <c r="C44" s="3"/>
      <c r="D44" s="3"/>
      <c r="E44" s="3"/>
    </row>
    <row r="45" ht="15.75" customHeight="1">
      <c r="A45" s="3"/>
      <c r="B45" s="3"/>
      <c r="C45" s="3"/>
      <c r="D45" s="3"/>
      <c r="E45" s="3"/>
    </row>
    <row r="46" ht="15.75" customHeight="1">
      <c r="A46" s="3"/>
      <c r="B46" s="3"/>
      <c r="C46" s="3"/>
      <c r="D46" s="3"/>
      <c r="E46" s="3"/>
    </row>
    <row r="47" ht="15.75" customHeight="1">
      <c r="A47" s="3"/>
      <c r="B47" s="3"/>
      <c r="C47" s="3"/>
      <c r="D47" s="3"/>
      <c r="E47" s="3"/>
    </row>
    <row r="48" ht="15.75" customHeight="1">
      <c r="A48" s="3"/>
      <c r="B48" s="3"/>
      <c r="C48" s="3"/>
      <c r="D48" s="3"/>
      <c r="E48" s="3"/>
    </row>
    <row r="49" ht="15.75" customHeight="1">
      <c r="A49" s="3"/>
      <c r="B49" s="3"/>
      <c r="C49" s="3"/>
      <c r="D49" s="3"/>
      <c r="E49" s="3"/>
    </row>
    <row r="50" ht="15.75" customHeight="1">
      <c r="A50" s="3"/>
      <c r="B50" s="3"/>
      <c r="C50" s="3"/>
      <c r="D50" s="3"/>
      <c r="E50" s="3"/>
    </row>
    <row r="51" ht="15.75" customHeight="1">
      <c r="A51" s="3"/>
      <c r="B51" s="3"/>
      <c r="C51" s="3"/>
      <c r="D51" s="3"/>
      <c r="E51" s="3"/>
    </row>
    <row r="52" ht="15.75" customHeight="1">
      <c r="A52" s="3"/>
      <c r="B52" s="3"/>
      <c r="C52" s="3"/>
      <c r="D52" s="3"/>
      <c r="E52" s="3"/>
    </row>
    <row r="53" ht="15.75" customHeight="1">
      <c r="A53" s="3"/>
      <c r="B53" s="3"/>
      <c r="C53" s="3"/>
      <c r="D53" s="3"/>
      <c r="E53" s="3"/>
    </row>
    <row r="54" ht="15.75" customHeight="1">
      <c r="A54" s="3"/>
      <c r="B54" s="3"/>
      <c r="C54" s="3"/>
      <c r="D54" s="3"/>
      <c r="E54" s="3"/>
    </row>
    <row r="55" ht="15.75" customHeight="1">
      <c r="A55" s="3"/>
      <c r="B55" s="3"/>
      <c r="C55" s="3"/>
      <c r="D55" s="3"/>
      <c r="E55" s="3"/>
    </row>
    <row r="56" ht="15.75" customHeight="1">
      <c r="A56" s="3"/>
      <c r="B56" s="3"/>
      <c r="C56" s="3"/>
      <c r="D56" s="3"/>
      <c r="E56" s="3"/>
    </row>
    <row r="57" ht="15.75" customHeight="1">
      <c r="A57" s="3"/>
      <c r="B57" s="3"/>
      <c r="C57" s="3"/>
      <c r="D57" s="3"/>
      <c r="E57" s="3"/>
    </row>
    <row r="58" ht="15.75" customHeight="1">
      <c r="A58" s="3"/>
      <c r="B58" s="3"/>
      <c r="C58" s="3"/>
      <c r="D58" s="3"/>
      <c r="E58" s="3"/>
    </row>
    <row r="59" ht="15.75" customHeight="1">
      <c r="A59" s="3"/>
      <c r="B59" s="3"/>
      <c r="C59" s="3"/>
      <c r="D59" s="3"/>
      <c r="E59" s="3"/>
    </row>
    <row r="60" ht="15.75" customHeight="1">
      <c r="A60" s="3"/>
      <c r="B60" s="3"/>
      <c r="C60" s="3"/>
      <c r="D60" s="3"/>
      <c r="E60" s="3"/>
    </row>
    <row r="61" ht="15.75" customHeight="1">
      <c r="A61" s="3"/>
      <c r="B61" s="3"/>
      <c r="C61" s="3"/>
      <c r="D61" s="3"/>
      <c r="E61" s="3"/>
    </row>
    <row r="62" ht="15.75" customHeight="1">
      <c r="A62" s="3"/>
      <c r="B62" s="3"/>
      <c r="C62" s="3"/>
      <c r="D62" s="3"/>
      <c r="E62" s="3"/>
    </row>
    <row r="63" ht="15.75" customHeight="1">
      <c r="A63" s="3"/>
      <c r="B63" s="3"/>
      <c r="C63" s="3"/>
      <c r="D63" s="3"/>
      <c r="E63" s="3"/>
    </row>
    <row r="64" ht="15.75" customHeight="1">
      <c r="A64" s="3"/>
      <c r="B64" s="3"/>
      <c r="C64" s="3"/>
      <c r="D64" s="3"/>
      <c r="E64" s="3"/>
    </row>
    <row r="65" ht="15.75" customHeight="1">
      <c r="A65" s="3"/>
      <c r="B65" s="3"/>
      <c r="C65" s="3"/>
      <c r="D65" s="3"/>
      <c r="E65" s="3"/>
    </row>
    <row r="66" ht="15.75" customHeight="1">
      <c r="A66" s="3"/>
      <c r="B66" s="3"/>
      <c r="C66" s="3"/>
      <c r="D66" s="3"/>
      <c r="E66" s="3"/>
    </row>
    <row r="67" ht="15.75" customHeight="1">
      <c r="A67" s="3"/>
      <c r="B67" s="3"/>
      <c r="C67" s="3"/>
      <c r="D67" s="3"/>
      <c r="E67" s="3"/>
    </row>
    <row r="68" ht="15.75" customHeight="1">
      <c r="A68" s="3"/>
      <c r="B68" s="3"/>
      <c r="C68" s="3"/>
      <c r="D68" s="3"/>
      <c r="E68" s="3"/>
    </row>
    <row r="69" ht="15.75" customHeight="1">
      <c r="A69" s="3"/>
      <c r="B69" s="3"/>
      <c r="C69" s="3"/>
      <c r="D69" s="3"/>
      <c r="E69" s="3"/>
    </row>
    <row r="70" ht="15.75" customHeight="1">
      <c r="A70" s="3"/>
      <c r="B70" s="3"/>
      <c r="C70" s="3"/>
      <c r="D70" s="3"/>
      <c r="E70" s="3"/>
    </row>
    <row r="71" ht="15.75" customHeight="1">
      <c r="A71" s="3"/>
      <c r="B71" s="3"/>
      <c r="C71" s="3"/>
      <c r="D71" s="3"/>
      <c r="E71" s="3"/>
    </row>
    <row r="72" ht="15.75" customHeight="1">
      <c r="A72" s="3"/>
      <c r="B72" s="3"/>
      <c r="C72" s="3"/>
      <c r="D72" s="3"/>
      <c r="E72" s="3"/>
    </row>
    <row r="73" ht="15.75" customHeight="1">
      <c r="A73" s="3"/>
      <c r="B73" s="3"/>
      <c r="C73" s="3"/>
      <c r="D73" s="3"/>
      <c r="E73" s="3"/>
    </row>
    <row r="74" ht="15.75" customHeight="1">
      <c r="A74" s="3"/>
      <c r="B74" s="3"/>
      <c r="C74" s="3"/>
      <c r="D74" s="3"/>
      <c r="E74" s="3"/>
    </row>
    <row r="75" ht="15.75" customHeight="1">
      <c r="A75" s="3"/>
      <c r="B75" s="3"/>
      <c r="C75" s="3"/>
      <c r="D75" s="3"/>
      <c r="E75" s="3"/>
    </row>
    <row r="76" ht="15.75" customHeight="1">
      <c r="A76" s="3"/>
      <c r="B76" s="3"/>
      <c r="C76" s="3"/>
      <c r="D76" s="3"/>
      <c r="E76" s="3"/>
    </row>
    <row r="77" ht="15.75" customHeight="1">
      <c r="A77" s="3"/>
      <c r="B77" s="3"/>
      <c r="C77" s="3"/>
      <c r="D77" s="3"/>
      <c r="E77" s="3"/>
    </row>
    <row r="78" ht="15.75" customHeight="1">
      <c r="A78" s="3"/>
      <c r="B78" s="3"/>
      <c r="C78" s="3"/>
      <c r="D78" s="3"/>
      <c r="E78" s="3"/>
    </row>
    <row r="79" ht="15.75" customHeight="1">
      <c r="A79" s="3"/>
      <c r="B79" s="3"/>
      <c r="C79" s="3"/>
      <c r="D79" s="3"/>
      <c r="E79" s="3"/>
    </row>
    <row r="80" ht="15.75" customHeight="1">
      <c r="A80" s="3"/>
      <c r="B80" s="3"/>
      <c r="C80" s="3"/>
      <c r="D80" s="3"/>
      <c r="E80" s="3"/>
    </row>
    <row r="81" ht="15.75" customHeight="1">
      <c r="A81" s="3"/>
      <c r="B81" s="3"/>
      <c r="C81" s="3"/>
      <c r="D81" s="3"/>
      <c r="E81" s="3"/>
    </row>
    <row r="82" ht="15.75" customHeight="1">
      <c r="A82" s="3"/>
      <c r="B82" s="3"/>
      <c r="C82" s="3"/>
      <c r="D82" s="3"/>
      <c r="E82" s="3"/>
    </row>
    <row r="83" ht="15.75" customHeight="1">
      <c r="A83" s="3"/>
      <c r="B83" s="3"/>
      <c r="C83" s="3"/>
      <c r="D83" s="3"/>
      <c r="E83" s="3"/>
    </row>
    <row r="84" ht="15.75" customHeight="1">
      <c r="A84" s="3"/>
      <c r="B84" s="3"/>
      <c r="C84" s="3"/>
      <c r="D84" s="3"/>
      <c r="E84" s="3"/>
    </row>
    <row r="85" ht="15.75" customHeight="1">
      <c r="A85" s="3"/>
      <c r="B85" s="3"/>
      <c r="C85" s="3"/>
      <c r="D85" s="3"/>
      <c r="E85" s="3"/>
    </row>
    <row r="86" ht="15.75" customHeight="1">
      <c r="A86" s="3"/>
      <c r="B86" s="3"/>
      <c r="C86" s="3"/>
      <c r="D86" s="3"/>
      <c r="E86" s="3"/>
    </row>
    <row r="87" ht="15.75" customHeight="1">
      <c r="A87" s="3"/>
      <c r="B87" s="3"/>
      <c r="C87" s="3"/>
      <c r="D87" s="3"/>
      <c r="E87" s="3"/>
    </row>
    <row r="88" ht="15.75" customHeight="1">
      <c r="A88" s="3"/>
      <c r="B88" s="3"/>
      <c r="C88" s="3"/>
      <c r="D88" s="3"/>
      <c r="E88" s="3"/>
    </row>
    <row r="89" ht="15.75" customHeight="1">
      <c r="A89" s="3"/>
      <c r="B89" s="3"/>
      <c r="C89" s="3"/>
      <c r="D89" s="3"/>
      <c r="E89" s="3"/>
    </row>
    <row r="90" ht="15.75" customHeight="1">
      <c r="A90" s="3"/>
      <c r="B90" s="3"/>
      <c r="C90" s="3"/>
      <c r="D90" s="3"/>
      <c r="E90" s="3"/>
    </row>
    <row r="91" ht="15.75" customHeight="1">
      <c r="A91" s="3"/>
      <c r="B91" s="3"/>
      <c r="C91" s="3"/>
      <c r="D91" s="3"/>
      <c r="E91" s="3"/>
    </row>
    <row r="92" ht="15.75" customHeight="1">
      <c r="A92" s="3"/>
      <c r="B92" s="3"/>
      <c r="C92" s="3"/>
      <c r="D92" s="3"/>
      <c r="E92" s="3"/>
    </row>
    <row r="93" ht="15.75" customHeight="1">
      <c r="A93" s="3"/>
      <c r="B93" s="3"/>
      <c r="C93" s="3"/>
      <c r="D93" s="3"/>
      <c r="E93" s="3"/>
    </row>
    <row r="94" ht="15.75" customHeight="1">
      <c r="A94" s="3"/>
      <c r="B94" s="3"/>
      <c r="C94" s="3"/>
      <c r="D94" s="3"/>
      <c r="E94" s="3"/>
    </row>
    <row r="95" ht="15.75" customHeight="1">
      <c r="A95" s="3"/>
      <c r="B95" s="3"/>
      <c r="C95" s="3"/>
      <c r="D95" s="3"/>
      <c r="E95" s="3"/>
    </row>
    <row r="96" ht="15.75" customHeight="1">
      <c r="A96" s="3"/>
      <c r="B96" s="3"/>
      <c r="C96" s="3"/>
      <c r="D96" s="3"/>
      <c r="E96" s="3"/>
    </row>
    <row r="97" ht="15.75" customHeight="1">
      <c r="A97" s="3"/>
      <c r="B97" s="3"/>
      <c r="C97" s="3"/>
      <c r="D97" s="3"/>
      <c r="E97" s="3"/>
    </row>
    <row r="98" ht="15.75" customHeight="1">
      <c r="A98" s="3"/>
      <c r="B98" s="3"/>
      <c r="C98" s="3"/>
      <c r="D98" s="3"/>
      <c r="E98" s="3"/>
    </row>
    <row r="99" ht="15.75" customHeight="1">
      <c r="A99" s="3"/>
      <c r="B99" s="3"/>
      <c r="C99" s="3"/>
      <c r="D99" s="3"/>
      <c r="E99" s="3"/>
    </row>
    <row r="100" ht="15.75" customHeight="1">
      <c r="A100" s="3"/>
      <c r="B100" s="3"/>
      <c r="C100" s="3"/>
      <c r="D100" s="3"/>
      <c r="E100" s="3"/>
    </row>
  </sheetData>
  <mergeCells count="2">
    <mergeCell ref="A1:E1"/>
    <mergeCell ref="A2:E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3" width="16.0"/>
    <col customWidth="1" min="4" max="4" width="18.0"/>
    <col customWidth="1" min="5" max="5" width="14.0"/>
    <col customWidth="1" min="6" max="7" width="22.0"/>
    <col customWidth="1" min="8" max="11" width="8.71"/>
  </cols>
  <sheetData>
    <row r="1" ht="15.75" customHeight="1">
      <c r="A1" s="1" t="s">
        <v>29</v>
      </c>
      <c r="E1" s="3"/>
      <c r="F1" s="3"/>
      <c r="G1" s="3"/>
    </row>
    <row r="2" ht="15.0" customHeight="1">
      <c r="A2" s="2" t="s">
        <v>30</v>
      </c>
      <c r="E2" s="3"/>
      <c r="F2" s="3"/>
      <c r="G2" s="3"/>
    </row>
    <row r="3">
      <c r="A3" s="3"/>
      <c r="B3" s="3"/>
      <c r="C3" s="3"/>
      <c r="D3" s="3"/>
      <c r="E3" s="3"/>
      <c r="F3" s="3"/>
      <c r="G3" s="3"/>
    </row>
    <row r="4" ht="15.0" customHeight="1">
      <c r="A4" s="2" t="s">
        <v>31</v>
      </c>
      <c r="E4" s="3"/>
      <c r="F4" s="3"/>
      <c r="G4" s="3"/>
    </row>
    <row r="5" ht="15.0" customHeight="1">
      <c r="A5" s="10" t="s">
        <v>32</v>
      </c>
      <c r="B5" s="14" t="str">
        <f>'Raw Data'!B9</f>
        <v>63,121</v>
      </c>
      <c r="C5" s="3"/>
      <c r="D5" s="3"/>
      <c r="E5" s="3"/>
      <c r="F5" s="3"/>
      <c r="G5" s="3"/>
    </row>
    <row r="6" ht="15.0" customHeight="1">
      <c r="A6" s="10" t="s">
        <v>33</v>
      </c>
      <c r="B6" s="14" t="str">
        <f>'Raw Data'!C9</f>
        <v>30,500</v>
      </c>
      <c r="C6" s="3"/>
      <c r="D6" s="3"/>
      <c r="E6" s="3"/>
      <c r="F6" s="3"/>
      <c r="G6" s="3"/>
    </row>
    <row r="7">
      <c r="A7" s="3"/>
      <c r="B7" s="3"/>
      <c r="C7" s="3"/>
      <c r="D7" s="3"/>
      <c r="E7" s="3"/>
      <c r="F7" s="3"/>
      <c r="G7" s="3"/>
    </row>
    <row r="8">
      <c r="A8" s="3"/>
      <c r="B8" s="3"/>
      <c r="C8" s="3"/>
      <c r="D8" s="3"/>
      <c r="E8" s="3"/>
      <c r="F8" s="3"/>
      <c r="G8" s="3"/>
    </row>
    <row r="9" ht="15.0" customHeight="1">
      <c r="A9" s="4" t="s">
        <v>34</v>
      </c>
      <c r="B9" s="4" t="s">
        <v>35</v>
      </c>
      <c r="C9" s="4" t="s">
        <v>36</v>
      </c>
      <c r="D9" s="3"/>
      <c r="E9" s="3"/>
      <c r="F9" s="3"/>
      <c r="G9" s="3"/>
    </row>
    <row r="10" ht="15.0" customHeight="1">
      <c r="A10" s="15" t="s">
        <v>15</v>
      </c>
      <c r="B10" s="16">
        <v>25.0</v>
      </c>
      <c r="C10" s="17">
        <v>22.0</v>
      </c>
      <c r="D10" s="3"/>
      <c r="E10" s="3"/>
      <c r="F10" s="3"/>
      <c r="G10" s="3"/>
    </row>
    <row r="11" ht="15.0" customHeight="1">
      <c r="A11" s="15" t="s">
        <v>16</v>
      </c>
      <c r="B11" s="16">
        <v>10.0</v>
      </c>
      <c r="C11" s="17">
        <v>8.0</v>
      </c>
      <c r="D11" s="3"/>
      <c r="E11" s="3"/>
      <c r="F11" s="3"/>
      <c r="G11" s="3"/>
    </row>
    <row r="12" ht="15.0" customHeight="1">
      <c r="A12" s="15" t="s">
        <v>17</v>
      </c>
      <c r="B12" s="16">
        <v>45.0</v>
      </c>
      <c r="C12" s="17">
        <v>48.0</v>
      </c>
      <c r="D12" s="3"/>
      <c r="E12" s="3"/>
      <c r="F12" s="3"/>
      <c r="G12" s="3"/>
    </row>
    <row r="13">
      <c r="A13" s="3"/>
      <c r="B13" s="3"/>
      <c r="C13" s="3"/>
      <c r="D13" s="3"/>
      <c r="E13" s="3"/>
      <c r="F13" s="3"/>
      <c r="G13" s="3"/>
    </row>
    <row r="14" ht="15.0" customHeight="1">
      <c r="A14" s="18" t="s">
        <v>37</v>
      </c>
      <c r="B14" s="19" t="s">
        <v>38</v>
      </c>
      <c r="C14" s="20"/>
      <c r="D14" s="3"/>
      <c r="E14" s="3"/>
      <c r="F14" s="3"/>
      <c r="G14" s="3"/>
    </row>
    <row r="15" ht="15.0" customHeight="1">
      <c r="A15" s="21" t="s">
        <v>39</v>
      </c>
      <c r="B15" s="22" t="str">
        <f>B10+B11-B12</f>
        <v>(10.0)</v>
      </c>
      <c r="C15" s="23"/>
      <c r="D15" s="3"/>
      <c r="E15" s="3"/>
      <c r="F15" s="3"/>
      <c r="G15" s="3"/>
    </row>
    <row r="16" ht="15.0" customHeight="1">
      <c r="A16" s="21" t="s">
        <v>40</v>
      </c>
      <c r="B16" s="22" t="str">
        <f>C10+C11-C12</f>
        <v>(18.0)</v>
      </c>
      <c r="C16" s="23"/>
      <c r="D16" s="3"/>
      <c r="E16" s="3"/>
      <c r="F16" s="3"/>
      <c r="G16" s="3"/>
    </row>
    <row r="17" ht="15.0" customHeight="1">
      <c r="A17" s="21" t="s">
        <v>41</v>
      </c>
      <c r="B17" s="22" t="str">
        <f>B15-B16</f>
        <v>8.0</v>
      </c>
      <c r="C17" s="23"/>
      <c r="D17" s="3"/>
      <c r="E17" s="3"/>
      <c r="F17" s="3"/>
      <c r="G17" s="3"/>
    </row>
    <row r="18" ht="15.0" customHeight="1">
      <c r="A18" s="21" t="s">
        <v>42</v>
      </c>
      <c r="B18" s="24" t="str">
        <f>(B10-C10)*$B$6/365</f>
        <v>251</v>
      </c>
      <c r="C18" s="23"/>
      <c r="D18" s="3"/>
      <c r="E18" s="3"/>
      <c r="F18" s="3"/>
      <c r="G18" s="3"/>
    </row>
    <row r="19" ht="15.0" customHeight="1">
      <c r="A19" s="21" t="s">
        <v>43</v>
      </c>
      <c r="B19" s="24" t="str">
        <f>(B11-C11)*$B$5/365</f>
        <v>346</v>
      </c>
      <c r="C19" s="23"/>
      <c r="D19" s="3"/>
      <c r="E19" s="3"/>
      <c r="F19" s="3"/>
      <c r="G19" s="3"/>
    </row>
    <row r="20" ht="15.0" customHeight="1">
      <c r="A20" s="21" t="s">
        <v>44</v>
      </c>
      <c r="B20" s="24" t="str">
        <f>(C12-B12)*$B$6/365</f>
        <v>251</v>
      </c>
      <c r="C20" s="23"/>
      <c r="D20" s="3"/>
      <c r="E20" s="3"/>
      <c r="F20" s="3"/>
      <c r="G20" s="3"/>
    </row>
    <row r="21" ht="15.0" customHeight="1">
      <c r="A21" s="15" t="s">
        <v>45</v>
      </c>
      <c r="B21" s="25" t="str">
        <f>SUM(B18:B20)</f>
        <v>847</v>
      </c>
      <c r="C21" s="23"/>
      <c r="D21" s="3"/>
      <c r="E21" s="3"/>
      <c r="F21" s="3"/>
      <c r="G21" s="3"/>
    </row>
    <row r="22" ht="15.0" customHeight="1">
      <c r="A22" s="21" t="s">
        <v>46</v>
      </c>
      <c r="B22" s="26" t="str">
        <f>B21/$B$5</f>
        <v>1.3%</v>
      </c>
      <c r="C22" s="23"/>
      <c r="D22" s="3"/>
      <c r="E22" s="3"/>
      <c r="F22" s="3"/>
      <c r="G22" s="3"/>
    </row>
    <row r="23" ht="15.75" customHeight="1">
      <c r="A23" s="3"/>
      <c r="B23" s="3"/>
      <c r="C23" s="3"/>
      <c r="D23" s="3"/>
      <c r="E23" s="3"/>
      <c r="F23" s="3"/>
      <c r="G23" s="3"/>
    </row>
    <row r="24" ht="15.0" customHeight="1">
      <c r="A24" s="27" t="s">
        <v>47</v>
      </c>
      <c r="B24" s="28"/>
      <c r="C24" s="28"/>
      <c r="D24" s="28"/>
      <c r="E24" s="28"/>
      <c r="F24" s="20"/>
      <c r="G24" s="3"/>
    </row>
    <row r="25" ht="15.0" customHeight="1">
      <c r="A25" s="2" t="s">
        <v>48</v>
      </c>
      <c r="G25" s="3"/>
    </row>
    <row r="26" ht="15.75" customHeight="1">
      <c r="A26" s="3"/>
      <c r="B26" s="3"/>
      <c r="C26" s="3"/>
      <c r="D26" s="3"/>
      <c r="E26" s="3"/>
      <c r="F26" s="3"/>
      <c r="G26" s="3"/>
    </row>
    <row r="27" ht="26.25" customHeight="1">
      <c r="A27" s="4" t="s">
        <v>49</v>
      </c>
      <c r="B27" s="4" t="s">
        <v>15</v>
      </c>
      <c r="C27" s="4" t="s">
        <v>16</v>
      </c>
      <c r="D27" s="4" t="s">
        <v>17</v>
      </c>
      <c r="E27" s="4" t="s">
        <v>18</v>
      </c>
      <c r="F27" s="4" t="s">
        <v>50</v>
      </c>
      <c r="G27" s="4" t="s">
        <v>51</v>
      </c>
    </row>
    <row r="28" ht="15.0" customHeight="1">
      <c r="A28" s="29" t="s">
        <v>52</v>
      </c>
      <c r="B28" s="16">
        <v>22.0</v>
      </c>
      <c r="C28" s="16">
        <v>8.0</v>
      </c>
      <c r="D28" s="16">
        <v>48.0</v>
      </c>
      <c r="E28" s="8" t="str">
        <f t="shared" ref="E28:E30" si="1">B28+C28-D28</f>
        <v>(18.0)</v>
      </c>
      <c r="F28" s="13" t="str">
        <f t="shared" ref="F28:F30" si="2">(($B$10-B28)*$B$6/365)+(($B$11-C28)*$B$5/365)+((D28-$B$12)*$B$6/365)</f>
        <v>847</v>
      </c>
      <c r="G28" s="30" t="str">
        <f t="shared" ref="G28:G30" si="3">F28/$B$5</f>
        <v>1.34%</v>
      </c>
    </row>
    <row r="29" ht="15.0" customHeight="1">
      <c r="A29" s="29" t="s">
        <v>53</v>
      </c>
      <c r="B29" s="16">
        <v>25.0</v>
      </c>
      <c r="C29" s="16">
        <v>10.0</v>
      </c>
      <c r="D29" s="16">
        <v>45.0</v>
      </c>
      <c r="E29" s="8" t="str">
        <f t="shared" si="1"/>
        <v>(10.0)</v>
      </c>
      <c r="F29" s="13" t="str">
        <f t="shared" si="2"/>
        <v>-</v>
      </c>
      <c r="G29" s="30" t="str">
        <f t="shared" si="3"/>
        <v>0.00%</v>
      </c>
    </row>
    <row r="30" ht="15.0" customHeight="1">
      <c r="A30" s="29" t="s">
        <v>54</v>
      </c>
      <c r="B30" s="16">
        <v>30.0</v>
      </c>
      <c r="C30" s="16">
        <v>15.0</v>
      </c>
      <c r="D30" s="16">
        <v>40.0</v>
      </c>
      <c r="E30" s="8" t="str">
        <f t="shared" si="1"/>
        <v>5.0</v>
      </c>
      <c r="F30" s="13" t="str">
        <f t="shared" si="2"/>
        <v>(1,700)</v>
      </c>
      <c r="G30" s="30" t="str">
        <f t="shared" si="3"/>
        <v>-2.69%</v>
      </c>
    </row>
    <row r="31" ht="15.75" customHeight="1">
      <c r="A31" s="3"/>
      <c r="B31" s="3"/>
      <c r="C31" s="3"/>
      <c r="D31" s="3"/>
      <c r="E31" s="3"/>
      <c r="F31" s="3"/>
      <c r="G31" s="3"/>
    </row>
    <row r="32" ht="15.0" customHeight="1">
      <c r="A32" s="2" t="s">
        <v>55</v>
      </c>
    </row>
    <row r="33" ht="15.75" customHeight="1">
      <c r="A33" s="3"/>
      <c r="B33" s="3"/>
      <c r="C33" s="3"/>
      <c r="D33" s="3"/>
      <c r="E33" s="3"/>
      <c r="F33" s="3"/>
      <c r="G33" s="3"/>
    </row>
    <row r="34" ht="15.75" customHeight="1">
      <c r="A34" s="3"/>
      <c r="B34" s="3"/>
      <c r="C34" s="3"/>
      <c r="D34" s="3"/>
      <c r="E34" s="3"/>
      <c r="F34" s="3"/>
      <c r="G34" s="3"/>
    </row>
    <row r="35" ht="15.0" customHeight="1">
      <c r="A35" s="27" t="s">
        <v>56</v>
      </c>
      <c r="B35" s="28"/>
      <c r="C35" s="28"/>
      <c r="D35" s="20"/>
      <c r="E35" s="3"/>
      <c r="F35" s="3"/>
      <c r="G35" s="3"/>
    </row>
    <row r="36" ht="15.0" customHeight="1">
      <c r="A36" s="2" t="s">
        <v>57</v>
      </c>
      <c r="E36" s="3"/>
      <c r="F36" s="3"/>
      <c r="G36" s="3"/>
    </row>
    <row r="37" ht="15.75" customHeight="1">
      <c r="A37" s="3"/>
      <c r="B37" s="3"/>
      <c r="C37" s="3"/>
      <c r="D37" s="3"/>
      <c r="E37" s="3"/>
      <c r="F37" s="3"/>
      <c r="G37" s="3"/>
    </row>
    <row r="38" ht="15.0" customHeight="1">
      <c r="A38" s="4" t="s">
        <v>58</v>
      </c>
      <c r="B38" s="4" t="s">
        <v>59</v>
      </c>
      <c r="C38" s="4" t="s">
        <v>60</v>
      </c>
      <c r="D38" s="4" t="s">
        <v>61</v>
      </c>
      <c r="E38" s="3"/>
      <c r="F38" s="3"/>
      <c r="G38" s="3"/>
    </row>
    <row r="39" ht="15.0" customHeight="1">
      <c r="A39" s="29" t="s">
        <v>62</v>
      </c>
      <c r="B39" s="12" t="str">
        <f>B29</f>
        <v>25.0</v>
      </c>
      <c r="C39" s="16">
        <v>50.0</v>
      </c>
      <c r="D39" s="31" t="str">
        <f>IF(B39&gt;C39,"High Risk","OK")</f>
        <v>OK</v>
      </c>
      <c r="E39" s="3"/>
      <c r="F39" s="3"/>
      <c r="G39" s="3"/>
    </row>
    <row r="40" ht="15.0" customHeight="1">
      <c r="A40" s="29" t="s">
        <v>63</v>
      </c>
      <c r="B40" s="12" t="str">
        <f>C29</f>
        <v>10.0</v>
      </c>
      <c r="C40" s="16">
        <v>30.0</v>
      </c>
      <c r="D40" s="31" t="str">
        <f>IF(B40&gt;C40,"Medium Risk","OK")</f>
        <v>OK</v>
      </c>
      <c r="E40" s="3"/>
      <c r="F40" s="3"/>
      <c r="G40" s="3"/>
    </row>
    <row r="41" ht="15.0" customHeight="1">
      <c r="A41" s="29" t="s">
        <v>64</v>
      </c>
      <c r="B41" s="12" t="str">
        <f>E29</f>
        <v>(10.0)</v>
      </c>
      <c r="C41" s="16">
        <v>0.0</v>
      </c>
      <c r="D41" s="31" t="str">
        <f>IF(B41&gt;C41,"Warning","OK")</f>
        <v>OK</v>
      </c>
      <c r="E41" s="3"/>
      <c r="F41" s="3"/>
      <c r="G41" s="3"/>
    </row>
    <row r="42" ht="15.75" customHeight="1">
      <c r="A42" s="3"/>
      <c r="B42" s="3"/>
      <c r="C42" s="3"/>
      <c r="D42" s="3"/>
      <c r="E42" s="3"/>
      <c r="F42" s="3"/>
      <c r="G42" s="3"/>
    </row>
    <row r="43" ht="15.75" customHeight="1">
      <c r="A43" s="3"/>
      <c r="B43" s="3"/>
      <c r="C43" s="3"/>
      <c r="D43" s="3"/>
      <c r="E43" s="3"/>
      <c r="F43" s="3"/>
      <c r="G43" s="3"/>
    </row>
    <row r="44" ht="15.75" customHeight="1">
      <c r="A44" s="3"/>
      <c r="B44" s="3"/>
      <c r="C44" s="3"/>
      <c r="D44" s="3"/>
      <c r="E44" s="3"/>
      <c r="F44" s="3"/>
      <c r="G44" s="3"/>
    </row>
    <row r="45" ht="15.75" customHeight="1">
      <c r="A45" s="3"/>
      <c r="B45" s="3"/>
      <c r="C45" s="3"/>
      <c r="D45" s="3"/>
      <c r="E45" s="3"/>
      <c r="F45" s="3"/>
      <c r="G45" s="3"/>
    </row>
    <row r="46" ht="15.75" customHeight="1">
      <c r="A46" s="3"/>
      <c r="B46" s="3"/>
      <c r="C46" s="3"/>
      <c r="D46" s="3"/>
      <c r="E46" s="3"/>
      <c r="F46" s="3"/>
      <c r="G46" s="3"/>
    </row>
    <row r="47" ht="15.75" customHeight="1">
      <c r="A47" s="3"/>
      <c r="B47" s="3"/>
      <c r="C47" s="3"/>
      <c r="D47" s="3"/>
      <c r="E47" s="3"/>
      <c r="F47" s="3"/>
      <c r="G47" s="3"/>
    </row>
    <row r="48" ht="15.75" customHeight="1">
      <c r="A48" s="3"/>
      <c r="B48" s="3"/>
      <c r="C48" s="3"/>
      <c r="D48" s="3"/>
      <c r="E48" s="3"/>
      <c r="F48" s="3"/>
      <c r="G48" s="3"/>
    </row>
    <row r="49" ht="15.75" customHeight="1">
      <c r="A49" s="3"/>
      <c r="B49" s="3"/>
      <c r="C49" s="3"/>
      <c r="D49" s="3"/>
      <c r="E49" s="3"/>
      <c r="F49" s="3"/>
      <c r="G49" s="3"/>
    </row>
    <row r="50" ht="15.75" customHeight="1">
      <c r="A50" s="3"/>
      <c r="B50" s="3"/>
      <c r="C50" s="3"/>
      <c r="D50" s="3"/>
      <c r="E50" s="3"/>
      <c r="F50" s="3"/>
      <c r="G50" s="3"/>
    </row>
    <row r="51" ht="15.75" customHeight="1">
      <c r="A51" s="3"/>
      <c r="B51" s="3"/>
      <c r="C51" s="3"/>
      <c r="D51" s="3"/>
      <c r="E51" s="3"/>
      <c r="F51" s="3"/>
      <c r="G51" s="3"/>
    </row>
    <row r="52" ht="15.75" customHeight="1">
      <c r="A52" s="3"/>
      <c r="B52" s="3"/>
      <c r="C52" s="3"/>
      <c r="D52" s="3"/>
      <c r="E52" s="3"/>
      <c r="F52" s="3"/>
      <c r="G52" s="3"/>
    </row>
    <row r="53" ht="15.75" customHeight="1">
      <c r="A53" s="3"/>
      <c r="B53" s="3"/>
      <c r="C53" s="3"/>
      <c r="D53" s="3"/>
      <c r="E53" s="3"/>
      <c r="F53" s="3"/>
      <c r="G53" s="3"/>
    </row>
    <row r="54" ht="15.75" customHeight="1">
      <c r="A54" s="3"/>
      <c r="B54" s="3"/>
      <c r="C54" s="3"/>
      <c r="D54" s="3"/>
      <c r="E54" s="3"/>
      <c r="F54" s="3"/>
      <c r="G54" s="3"/>
    </row>
    <row r="55" ht="15.75" customHeight="1">
      <c r="A55" s="3"/>
      <c r="B55" s="3"/>
      <c r="C55" s="3"/>
      <c r="D55" s="3"/>
      <c r="E55" s="3"/>
      <c r="F55" s="3"/>
      <c r="G55" s="3"/>
    </row>
    <row r="56" ht="15.75" customHeight="1">
      <c r="A56" s="3"/>
      <c r="B56" s="3"/>
      <c r="C56" s="3"/>
      <c r="D56" s="3"/>
      <c r="E56" s="3"/>
      <c r="F56" s="3"/>
      <c r="G56" s="3"/>
    </row>
    <row r="57" ht="15.75" customHeight="1">
      <c r="A57" s="3"/>
      <c r="B57" s="3"/>
      <c r="C57" s="3"/>
      <c r="D57" s="3"/>
      <c r="E57" s="3"/>
      <c r="F57" s="3"/>
      <c r="G57" s="3"/>
    </row>
    <row r="58" ht="15.75" customHeight="1">
      <c r="A58" s="3"/>
      <c r="B58" s="3"/>
      <c r="C58" s="3"/>
      <c r="D58" s="3"/>
      <c r="E58" s="3"/>
      <c r="F58" s="3"/>
      <c r="G58" s="3"/>
    </row>
    <row r="59" ht="15.75" customHeight="1">
      <c r="A59" s="3"/>
      <c r="B59" s="3"/>
      <c r="C59" s="3"/>
      <c r="D59" s="3"/>
      <c r="E59" s="3"/>
      <c r="F59" s="3"/>
      <c r="G59" s="3"/>
    </row>
    <row r="60" ht="15.75" customHeight="1">
      <c r="A60" s="3"/>
      <c r="B60" s="3"/>
      <c r="C60" s="3"/>
      <c r="D60" s="3"/>
      <c r="E60" s="3"/>
      <c r="F60" s="3"/>
      <c r="G60" s="3"/>
    </row>
    <row r="61" ht="15.75" customHeight="1">
      <c r="A61" s="3"/>
      <c r="B61" s="3"/>
      <c r="C61" s="3"/>
      <c r="D61" s="3"/>
      <c r="E61" s="3"/>
      <c r="F61" s="3"/>
      <c r="G61" s="3"/>
    </row>
    <row r="62" ht="15.75" customHeight="1">
      <c r="A62" s="3"/>
      <c r="B62" s="3"/>
      <c r="C62" s="3"/>
      <c r="D62" s="3"/>
      <c r="E62" s="3"/>
      <c r="F62" s="3"/>
      <c r="G62" s="3"/>
    </row>
    <row r="63" ht="15.75" customHeight="1">
      <c r="A63" s="3"/>
      <c r="B63" s="3"/>
      <c r="C63" s="3"/>
      <c r="D63" s="3"/>
      <c r="E63" s="3"/>
      <c r="F63" s="3"/>
      <c r="G63" s="3"/>
    </row>
    <row r="64" ht="15.75" customHeight="1">
      <c r="A64" s="3"/>
      <c r="B64" s="3"/>
      <c r="C64" s="3"/>
      <c r="D64" s="3"/>
      <c r="E64" s="3"/>
      <c r="F64" s="3"/>
      <c r="G64" s="3"/>
    </row>
    <row r="65" ht="15.75" customHeight="1">
      <c r="A65" s="3"/>
      <c r="B65" s="3"/>
      <c r="C65" s="3"/>
      <c r="D65" s="3"/>
      <c r="E65" s="3"/>
      <c r="F65" s="3"/>
      <c r="G65" s="3"/>
    </row>
    <row r="66" ht="15.75" customHeight="1">
      <c r="A66" s="3"/>
      <c r="B66" s="3"/>
      <c r="C66" s="3"/>
      <c r="D66" s="3"/>
      <c r="E66" s="3"/>
      <c r="F66" s="3"/>
      <c r="G66" s="3"/>
    </row>
    <row r="67" ht="15.75" customHeight="1">
      <c r="A67" s="3"/>
      <c r="B67" s="3"/>
      <c r="C67" s="3"/>
      <c r="D67" s="3"/>
      <c r="E67" s="3"/>
      <c r="F67" s="3"/>
      <c r="G67" s="3"/>
    </row>
    <row r="68" ht="15.75" customHeight="1">
      <c r="A68" s="3"/>
      <c r="B68" s="3"/>
      <c r="C68" s="3"/>
      <c r="D68" s="3"/>
      <c r="E68" s="3"/>
      <c r="F68" s="3"/>
      <c r="G68" s="3"/>
    </row>
    <row r="69" ht="15.75" customHeight="1">
      <c r="A69" s="3"/>
      <c r="B69" s="3"/>
      <c r="C69" s="3"/>
      <c r="D69" s="3"/>
      <c r="E69" s="3"/>
      <c r="F69" s="3"/>
      <c r="G69" s="3"/>
    </row>
    <row r="70" ht="15.75" customHeight="1">
      <c r="A70" s="3"/>
      <c r="B70" s="3"/>
      <c r="C70" s="3"/>
      <c r="D70" s="3"/>
      <c r="E70" s="3"/>
      <c r="F70" s="3"/>
      <c r="G70" s="3"/>
    </row>
    <row r="71" ht="15.75" customHeight="1">
      <c r="A71" s="3"/>
      <c r="B71" s="3"/>
      <c r="C71" s="3"/>
      <c r="D71" s="3"/>
      <c r="E71" s="3"/>
      <c r="F71" s="3"/>
      <c r="G71" s="3"/>
    </row>
    <row r="72" ht="15.75" customHeight="1">
      <c r="A72" s="3"/>
      <c r="B72" s="3"/>
      <c r="C72" s="3"/>
      <c r="D72" s="3"/>
      <c r="E72" s="3"/>
      <c r="F72" s="3"/>
      <c r="G72" s="3"/>
    </row>
    <row r="73" ht="15.75" customHeight="1">
      <c r="A73" s="3"/>
      <c r="B73" s="3"/>
      <c r="C73" s="3"/>
      <c r="D73" s="3"/>
      <c r="E73" s="3"/>
      <c r="F73" s="3"/>
      <c r="G73" s="3"/>
    </row>
    <row r="74" ht="15.75" customHeight="1">
      <c r="A74" s="3"/>
      <c r="B74" s="3"/>
      <c r="C74" s="3"/>
      <c r="D74" s="3"/>
      <c r="E74" s="3"/>
      <c r="F74" s="3"/>
      <c r="G74" s="3"/>
    </row>
    <row r="75" ht="15.75" customHeight="1">
      <c r="A75" s="3"/>
      <c r="B75" s="3"/>
      <c r="C75" s="3"/>
      <c r="D75" s="3"/>
      <c r="E75" s="3"/>
      <c r="F75" s="3"/>
      <c r="G75" s="3"/>
    </row>
    <row r="76" ht="15.75" customHeight="1">
      <c r="A76" s="3"/>
      <c r="B76" s="3"/>
      <c r="C76" s="3"/>
      <c r="D76" s="3"/>
      <c r="E76" s="3"/>
      <c r="F76" s="3"/>
      <c r="G76" s="3"/>
    </row>
    <row r="77" ht="15.75" customHeight="1">
      <c r="A77" s="3"/>
      <c r="B77" s="3"/>
      <c r="C77" s="3"/>
      <c r="D77" s="3"/>
      <c r="E77" s="3"/>
      <c r="F77" s="3"/>
      <c r="G77" s="3"/>
    </row>
    <row r="78" ht="15.75" customHeight="1">
      <c r="A78" s="3"/>
      <c r="B78" s="3"/>
      <c r="C78" s="3"/>
      <c r="D78" s="3"/>
      <c r="E78" s="3"/>
      <c r="F78" s="3"/>
      <c r="G78" s="3"/>
    </row>
    <row r="79" ht="15.75" customHeight="1">
      <c r="A79" s="3"/>
      <c r="B79" s="3"/>
      <c r="C79" s="3"/>
      <c r="D79" s="3"/>
      <c r="E79" s="3"/>
      <c r="F79" s="3"/>
      <c r="G79" s="3"/>
    </row>
    <row r="80" ht="15.75" customHeight="1">
      <c r="A80" s="3"/>
      <c r="B80" s="3"/>
      <c r="C80" s="3"/>
      <c r="D80" s="3"/>
      <c r="E80" s="3"/>
      <c r="F80" s="3"/>
      <c r="G80" s="3"/>
    </row>
    <row r="81" ht="15.75" customHeight="1">
      <c r="A81" s="3"/>
      <c r="B81" s="3"/>
      <c r="C81" s="3"/>
      <c r="D81" s="3"/>
      <c r="E81" s="3"/>
      <c r="F81" s="3"/>
      <c r="G81" s="3"/>
    </row>
    <row r="82" ht="15.75" customHeight="1">
      <c r="A82" s="3"/>
      <c r="B82" s="3"/>
      <c r="C82" s="3"/>
      <c r="D82" s="3"/>
      <c r="E82" s="3"/>
      <c r="F82" s="3"/>
      <c r="G82" s="3"/>
    </row>
    <row r="83" ht="15.75" customHeight="1">
      <c r="A83" s="3"/>
      <c r="B83" s="3"/>
      <c r="C83" s="3"/>
      <c r="D83" s="3"/>
      <c r="E83" s="3"/>
      <c r="F83" s="3"/>
      <c r="G83" s="3"/>
    </row>
    <row r="84" ht="15.75" customHeight="1">
      <c r="A84" s="3"/>
      <c r="B84" s="3"/>
      <c r="C84" s="3"/>
      <c r="D84" s="3"/>
      <c r="E84" s="3"/>
      <c r="F84" s="3"/>
      <c r="G84" s="3"/>
    </row>
    <row r="85" ht="15.75" customHeight="1">
      <c r="A85" s="3"/>
      <c r="B85" s="3"/>
      <c r="C85" s="3"/>
      <c r="D85" s="3"/>
      <c r="E85" s="3"/>
      <c r="F85" s="3"/>
      <c r="G85" s="3"/>
    </row>
    <row r="86" ht="15.75" customHeight="1">
      <c r="A86" s="3"/>
      <c r="B86" s="3"/>
      <c r="C86" s="3"/>
      <c r="D86" s="3"/>
      <c r="E86" s="3"/>
      <c r="F86" s="3"/>
      <c r="G86" s="3"/>
    </row>
    <row r="87" ht="15.75" customHeight="1">
      <c r="A87" s="3"/>
      <c r="B87" s="3"/>
      <c r="C87" s="3"/>
      <c r="D87" s="3"/>
      <c r="E87" s="3"/>
      <c r="F87" s="3"/>
      <c r="G87" s="3"/>
    </row>
    <row r="88" ht="15.75" customHeight="1">
      <c r="A88" s="3"/>
      <c r="B88" s="3"/>
      <c r="C88" s="3"/>
      <c r="D88" s="3"/>
      <c r="E88" s="3"/>
      <c r="F88" s="3"/>
      <c r="G88" s="3"/>
    </row>
    <row r="89" ht="15.75" customHeight="1">
      <c r="A89" s="3"/>
      <c r="B89" s="3"/>
      <c r="C89" s="3"/>
      <c r="D89" s="3"/>
      <c r="E89" s="3"/>
      <c r="F89" s="3"/>
      <c r="G89" s="3"/>
    </row>
    <row r="90" ht="15.75" customHeight="1">
      <c r="A90" s="3"/>
      <c r="B90" s="3"/>
      <c r="C90" s="3"/>
      <c r="D90" s="3"/>
      <c r="E90" s="3"/>
      <c r="F90" s="3"/>
      <c r="G90" s="3"/>
    </row>
    <row r="91" ht="15.75" customHeight="1">
      <c r="A91" s="3"/>
      <c r="B91" s="3"/>
      <c r="C91" s="3"/>
      <c r="D91" s="3"/>
      <c r="E91" s="3"/>
      <c r="F91" s="3"/>
      <c r="G91" s="3"/>
    </row>
    <row r="92" ht="15.75" customHeight="1">
      <c r="A92" s="3"/>
      <c r="B92" s="3"/>
      <c r="C92" s="3"/>
      <c r="D92" s="3"/>
      <c r="E92" s="3"/>
      <c r="F92" s="3"/>
      <c r="G92" s="3"/>
    </row>
    <row r="93" ht="15.75" customHeight="1">
      <c r="A93" s="3"/>
      <c r="B93" s="3"/>
      <c r="C93" s="3"/>
      <c r="D93" s="3"/>
      <c r="E93" s="3"/>
      <c r="F93" s="3"/>
      <c r="G93" s="3"/>
    </row>
    <row r="94" ht="15.75" customHeight="1">
      <c r="A94" s="3"/>
      <c r="B94" s="3"/>
      <c r="C94" s="3"/>
      <c r="D94" s="3"/>
      <c r="E94" s="3"/>
      <c r="F94" s="3"/>
      <c r="G94" s="3"/>
    </row>
    <row r="95" ht="15.75" customHeight="1">
      <c r="A95" s="3"/>
      <c r="B95" s="3"/>
      <c r="C95" s="3"/>
      <c r="D95" s="3"/>
      <c r="E95" s="3"/>
      <c r="F95" s="3"/>
      <c r="G95" s="3"/>
    </row>
    <row r="96" ht="15.75" customHeight="1">
      <c r="A96" s="3"/>
      <c r="B96" s="3"/>
      <c r="C96" s="3"/>
      <c r="D96" s="3"/>
      <c r="E96" s="3"/>
      <c r="F96" s="3"/>
      <c r="G96" s="3"/>
    </row>
    <row r="97" ht="15.75" customHeight="1">
      <c r="A97" s="3"/>
      <c r="B97" s="3"/>
      <c r="C97" s="3"/>
      <c r="D97" s="3"/>
      <c r="E97" s="3"/>
      <c r="F97" s="3"/>
      <c r="G97" s="3"/>
    </row>
    <row r="98" ht="15.75" customHeight="1">
      <c r="A98" s="3"/>
      <c r="B98" s="3"/>
      <c r="C98" s="3"/>
      <c r="D98" s="3"/>
      <c r="E98" s="3"/>
      <c r="F98" s="3"/>
      <c r="G98" s="3"/>
    </row>
    <row r="99" ht="15.75" customHeight="1">
      <c r="A99" s="3"/>
      <c r="B99" s="3"/>
      <c r="C99" s="3"/>
      <c r="D99" s="3"/>
      <c r="E99" s="3"/>
      <c r="F99" s="3"/>
      <c r="G99" s="3"/>
    </row>
    <row r="100" ht="15.75" customHeight="1">
      <c r="A100" s="3"/>
      <c r="B100" s="3"/>
      <c r="C100" s="3"/>
      <c r="D100" s="3"/>
      <c r="E100" s="3"/>
      <c r="F100" s="3"/>
      <c r="G100" s="3"/>
    </row>
  </sheetData>
  <mergeCells count="17">
    <mergeCell ref="A1:D1"/>
    <mergeCell ref="A2:D2"/>
    <mergeCell ref="A4:D4"/>
    <mergeCell ref="B14:C14"/>
    <mergeCell ref="B15:C15"/>
    <mergeCell ref="B16:C16"/>
    <mergeCell ref="B17:C17"/>
    <mergeCell ref="A32:G32"/>
    <mergeCell ref="A35:D35"/>
    <mergeCell ref="A36:D36"/>
    <mergeCell ref="B18:C18"/>
    <mergeCell ref="B19:C19"/>
    <mergeCell ref="B20:C20"/>
    <mergeCell ref="B21:C21"/>
    <mergeCell ref="B22:C22"/>
    <mergeCell ref="A24:F24"/>
    <mergeCell ref="A25:F25"/>
  </mergeCells>
  <conditionalFormatting sqref="D39:D41">
    <cfRule type="cellIs" dxfId="0" priority="1" operator="equal">
      <formula>"High Risk"</formula>
    </cfRule>
  </conditionalFormatting>
  <conditionalFormatting sqref="D39:D41">
    <cfRule type="cellIs" dxfId="1" priority="2" operator="equal">
      <formula>"Medium Risk"</formula>
    </cfRule>
  </conditionalFormatting>
  <conditionalFormatting sqref="D39:D41">
    <cfRule type="cellIs" dxfId="1" priority="3" operator="equal">
      <formula>"Warning"</formula>
    </cfRule>
  </conditionalFormatting>
  <conditionalFormatting sqref="D39:D41">
    <cfRule type="cellIs" dxfId="2" priority="4" operator="equal">
      <formula>"OK"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5" width="26.0"/>
    <col customWidth="1" min="6" max="11" width="8.71"/>
  </cols>
  <sheetData>
    <row r="1" ht="15.75" customHeight="1">
      <c r="A1" s="1" t="s">
        <v>65</v>
      </c>
      <c r="F1" s="10"/>
      <c r="G1" s="10"/>
      <c r="H1" s="10"/>
    </row>
    <row r="2" ht="15.0" customHeight="1">
      <c r="A2" s="2" t="s">
        <v>66</v>
      </c>
      <c r="F2" s="10"/>
      <c r="G2" s="10"/>
      <c r="H2" s="10"/>
    </row>
    <row r="3" ht="15.0" customHeight="1">
      <c r="A3" s="10"/>
      <c r="B3" s="10"/>
      <c r="C3" s="10"/>
      <c r="D3" s="10"/>
      <c r="E3" s="10"/>
      <c r="F3" s="10"/>
      <c r="G3" s="10"/>
      <c r="H3" s="10"/>
    </row>
    <row r="4" ht="15.0" customHeight="1">
      <c r="A4" s="4" t="s">
        <v>2</v>
      </c>
      <c r="B4" s="4" t="s">
        <v>67</v>
      </c>
      <c r="C4" s="4" t="s">
        <v>68</v>
      </c>
      <c r="D4" s="4" t="s">
        <v>69</v>
      </c>
      <c r="E4" s="4" t="s">
        <v>70</v>
      </c>
      <c r="F4" s="10"/>
      <c r="G4" s="10"/>
      <c r="H4" s="10"/>
    </row>
    <row r="5" ht="15.0" customHeight="1">
      <c r="A5" s="5" t="s">
        <v>26</v>
      </c>
      <c r="B5" s="16">
        <v>46.3</v>
      </c>
      <c r="C5" s="16">
        <v>16.6</v>
      </c>
      <c r="D5" s="16">
        <v>131.0</v>
      </c>
      <c r="E5" s="8" t="str">
        <f t="shared" ref="E5:E7" si="1">B5+C5-D5</f>
        <v>(68.1)</v>
      </c>
      <c r="F5" s="10"/>
      <c r="G5" s="10"/>
      <c r="H5" s="10"/>
    </row>
    <row r="6" ht="15.0" customHeight="1">
      <c r="A6" s="5" t="s">
        <v>27</v>
      </c>
      <c r="B6" s="16">
        <v>46.5</v>
      </c>
      <c r="C6" s="16">
        <v>16.9</v>
      </c>
      <c r="D6" s="16">
        <v>133.5</v>
      </c>
      <c r="E6" s="8" t="str">
        <f t="shared" si="1"/>
        <v>(70.1)</v>
      </c>
      <c r="F6" s="10"/>
      <c r="G6" s="10"/>
      <c r="H6" s="10"/>
    </row>
    <row r="7" ht="15.0" customHeight="1">
      <c r="A7" s="5" t="s">
        <v>28</v>
      </c>
      <c r="B7" s="16">
        <v>46.6</v>
      </c>
      <c r="C7" s="16">
        <v>17.3</v>
      </c>
      <c r="D7" s="16">
        <v>136.0</v>
      </c>
      <c r="E7" s="8" t="str">
        <f t="shared" si="1"/>
        <v>(72.1)</v>
      </c>
      <c r="F7" s="10"/>
      <c r="G7" s="10"/>
      <c r="H7" s="10"/>
    </row>
    <row r="8" ht="15.0" customHeight="1">
      <c r="A8" s="10"/>
      <c r="B8" s="10"/>
      <c r="C8" s="10"/>
      <c r="D8" s="10"/>
      <c r="E8" s="10"/>
      <c r="F8" s="10"/>
      <c r="G8" s="10"/>
      <c r="H8" s="10"/>
    </row>
    <row r="9" ht="15.0" customHeight="1">
      <c r="A9" s="27" t="s">
        <v>71</v>
      </c>
      <c r="B9" s="28"/>
      <c r="C9" s="28"/>
      <c r="D9" s="28"/>
      <c r="E9" s="20"/>
      <c r="F9" s="10"/>
      <c r="G9" s="10"/>
      <c r="H9" s="10"/>
    </row>
    <row r="10" ht="15.0" customHeight="1">
      <c r="A10" s="32" t="s">
        <v>72</v>
      </c>
      <c r="B10" s="33" t="s">
        <v>73</v>
      </c>
      <c r="C10" s="34"/>
      <c r="D10" s="34"/>
      <c r="E10" s="23"/>
      <c r="F10" s="10"/>
      <c r="G10" s="10"/>
      <c r="H10" s="10"/>
    </row>
    <row r="11" ht="15.0" customHeight="1">
      <c r="A11" s="32" t="s">
        <v>74</v>
      </c>
      <c r="B11" s="33" t="s">
        <v>75</v>
      </c>
      <c r="C11" s="34"/>
      <c r="D11" s="34"/>
      <c r="E11" s="23"/>
      <c r="F11" s="10"/>
      <c r="G11" s="10"/>
      <c r="H11" s="10"/>
    </row>
    <row r="12" ht="15.0" customHeight="1">
      <c r="A12" s="32" t="s">
        <v>76</v>
      </c>
      <c r="B12" s="33" t="s">
        <v>77</v>
      </c>
      <c r="C12" s="34"/>
      <c r="D12" s="34"/>
      <c r="E12" s="23"/>
      <c r="F12" s="10"/>
      <c r="G12" s="10"/>
      <c r="H12" s="10"/>
    </row>
    <row r="13" ht="15.0" customHeight="1">
      <c r="A13" s="32" t="s">
        <v>78</v>
      </c>
      <c r="B13" s="33" t="s">
        <v>79</v>
      </c>
      <c r="C13" s="34"/>
      <c r="D13" s="34"/>
      <c r="E13" s="23"/>
      <c r="F13" s="10"/>
      <c r="G13" s="10"/>
      <c r="H13" s="10"/>
    </row>
    <row r="14" ht="15.0" customHeight="1">
      <c r="A14" s="10"/>
      <c r="B14" s="10"/>
      <c r="C14" s="10"/>
      <c r="D14" s="10"/>
      <c r="E14" s="10"/>
      <c r="F14" s="10"/>
      <c r="G14" s="10"/>
      <c r="H14" s="10"/>
    </row>
    <row r="15" ht="15.0" customHeight="1">
      <c r="A15" s="2" t="s">
        <v>80</v>
      </c>
      <c r="F15" s="10"/>
      <c r="G15" s="10"/>
      <c r="H15" s="10"/>
    </row>
    <row r="16" ht="15.0" customHeight="1">
      <c r="A16" s="10"/>
      <c r="B16" s="10"/>
      <c r="C16" s="10"/>
      <c r="D16" s="10"/>
      <c r="E16" s="10"/>
      <c r="F16" s="10"/>
      <c r="G16" s="10"/>
      <c r="H16" s="10"/>
    </row>
    <row r="17" ht="15.0" customHeight="1">
      <c r="A17" s="10"/>
      <c r="B17" s="10"/>
      <c r="C17" s="10"/>
      <c r="D17" s="10"/>
      <c r="E17" s="10"/>
      <c r="F17" s="10"/>
      <c r="G17" s="10"/>
      <c r="H17" s="10"/>
    </row>
    <row r="18" ht="15.0" customHeight="1">
      <c r="A18" s="10"/>
      <c r="B18" s="10"/>
      <c r="C18" s="10"/>
      <c r="D18" s="10"/>
      <c r="E18" s="10"/>
      <c r="F18" s="10"/>
      <c r="G18" s="10"/>
      <c r="H18" s="10"/>
    </row>
    <row r="19" ht="15.0" customHeight="1">
      <c r="A19" s="10"/>
      <c r="B19" s="10"/>
      <c r="C19" s="10"/>
      <c r="D19" s="10"/>
      <c r="E19" s="10"/>
      <c r="F19" s="10"/>
      <c r="G19" s="10"/>
      <c r="H19" s="10"/>
    </row>
    <row r="20" ht="15.0" customHeight="1">
      <c r="A20" s="10"/>
      <c r="B20" s="10"/>
      <c r="C20" s="10"/>
      <c r="D20" s="10"/>
      <c r="E20" s="10"/>
      <c r="F20" s="10"/>
      <c r="G20" s="10"/>
      <c r="H20" s="10"/>
    </row>
    <row r="21" ht="15.0" customHeight="1">
      <c r="A21" s="10"/>
      <c r="B21" s="10"/>
      <c r="C21" s="10"/>
      <c r="D21" s="10"/>
      <c r="E21" s="10"/>
      <c r="F21" s="10"/>
      <c r="G21" s="10"/>
      <c r="H21" s="10"/>
    </row>
    <row r="22" ht="15.0" customHeight="1">
      <c r="A22" s="10"/>
      <c r="B22" s="10"/>
      <c r="C22" s="10"/>
      <c r="D22" s="10"/>
      <c r="E22" s="10"/>
      <c r="F22" s="10"/>
      <c r="G22" s="10"/>
      <c r="H22" s="10"/>
    </row>
    <row r="23" ht="15.0" customHeight="1">
      <c r="A23" s="10"/>
      <c r="B23" s="10"/>
      <c r="C23" s="10"/>
      <c r="D23" s="10"/>
      <c r="E23" s="10"/>
      <c r="F23" s="10"/>
      <c r="G23" s="10"/>
      <c r="H23" s="10"/>
    </row>
    <row r="24" ht="15.0" customHeight="1">
      <c r="A24" s="10"/>
      <c r="B24" s="10"/>
      <c r="C24" s="10"/>
      <c r="D24" s="10"/>
      <c r="E24" s="10"/>
      <c r="F24" s="10"/>
      <c r="G24" s="10"/>
      <c r="H24" s="10"/>
    </row>
    <row r="25" ht="15.0" customHeight="1">
      <c r="A25" s="10"/>
      <c r="B25" s="10"/>
      <c r="C25" s="10"/>
      <c r="D25" s="10"/>
      <c r="E25" s="10"/>
      <c r="F25" s="10"/>
      <c r="G25" s="10"/>
      <c r="H25" s="10"/>
    </row>
    <row r="26" ht="15.0" customHeight="1">
      <c r="A26" s="10"/>
      <c r="B26" s="10"/>
      <c r="C26" s="10"/>
      <c r="D26" s="10"/>
      <c r="E26" s="10"/>
      <c r="F26" s="10"/>
      <c r="G26" s="10"/>
      <c r="H26" s="10"/>
    </row>
    <row r="27" ht="15.0" customHeight="1">
      <c r="A27" s="10"/>
      <c r="B27" s="10"/>
      <c r="C27" s="10"/>
      <c r="D27" s="10"/>
      <c r="E27" s="10"/>
      <c r="F27" s="10"/>
      <c r="G27" s="10"/>
      <c r="H27" s="10"/>
    </row>
    <row r="28" ht="15.0" customHeight="1">
      <c r="A28" s="10"/>
      <c r="B28" s="10"/>
      <c r="C28" s="10"/>
      <c r="D28" s="10"/>
      <c r="E28" s="10"/>
      <c r="F28" s="10"/>
      <c r="G28" s="10"/>
      <c r="H28" s="10"/>
    </row>
    <row r="29" ht="15.0" customHeight="1">
      <c r="A29" s="10"/>
      <c r="B29" s="10"/>
      <c r="C29" s="10"/>
      <c r="D29" s="10"/>
      <c r="E29" s="10"/>
      <c r="F29" s="10"/>
      <c r="G29" s="10"/>
      <c r="H29" s="10"/>
    </row>
    <row r="30" ht="15.0" customHeight="1">
      <c r="A30" s="10"/>
      <c r="B30" s="10"/>
      <c r="C30" s="10"/>
      <c r="D30" s="10"/>
      <c r="E30" s="10"/>
      <c r="F30" s="10"/>
      <c r="G30" s="10"/>
      <c r="H30" s="10"/>
    </row>
    <row r="31" ht="15.75" customHeight="1">
      <c r="A31" s="3"/>
      <c r="B31" s="3"/>
      <c r="C31" s="3"/>
      <c r="D31" s="3"/>
      <c r="E31" s="3"/>
    </row>
    <row r="32" ht="15.75" customHeight="1">
      <c r="A32" s="3"/>
      <c r="B32" s="3"/>
      <c r="C32" s="3"/>
      <c r="D32" s="3"/>
      <c r="E32" s="3"/>
    </row>
    <row r="33" ht="15.0" customHeight="1">
      <c r="A33" s="9" t="s">
        <v>81</v>
      </c>
      <c r="E33" s="3"/>
    </row>
    <row r="34" ht="15.0" customHeight="1">
      <c r="A34" s="4" t="s">
        <v>82</v>
      </c>
      <c r="B34" s="4" t="s">
        <v>83</v>
      </c>
      <c r="C34" s="4" t="s">
        <v>84</v>
      </c>
      <c r="D34" s="4" t="s">
        <v>85</v>
      </c>
      <c r="E34" s="3"/>
    </row>
    <row r="35" ht="45.0" customHeight="1">
      <c r="A35" s="35" t="s">
        <v>73</v>
      </c>
      <c r="B35" s="35" t="s">
        <v>75</v>
      </c>
      <c r="C35" s="35" t="s">
        <v>77</v>
      </c>
      <c r="D35" s="35" t="s">
        <v>79</v>
      </c>
      <c r="E35" s="3"/>
    </row>
    <row r="36" ht="15.75" customHeight="1">
      <c r="A36" s="3"/>
      <c r="B36" s="3"/>
      <c r="C36" s="3"/>
      <c r="D36" s="3"/>
      <c r="E36" s="3"/>
    </row>
    <row r="37" ht="15.75" customHeight="1">
      <c r="A37" s="3"/>
      <c r="B37" s="3"/>
      <c r="C37" s="3"/>
      <c r="D37" s="3"/>
      <c r="E37" s="3"/>
    </row>
    <row r="38" ht="15.75" customHeight="1">
      <c r="A38" s="3"/>
      <c r="B38" s="3"/>
      <c r="C38" s="3"/>
      <c r="D38" s="3"/>
      <c r="E38" s="3"/>
    </row>
    <row r="39" ht="15.75" customHeight="1">
      <c r="A39" s="3"/>
      <c r="B39" s="3"/>
      <c r="C39" s="3"/>
      <c r="D39" s="3"/>
      <c r="E39" s="3"/>
    </row>
    <row r="40" ht="15.75" customHeight="1">
      <c r="A40" s="3"/>
      <c r="B40" s="3"/>
      <c r="C40" s="3"/>
      <c r="D40" s="3"/>
      <c r="E40" s="3"/>
    </row>
    <row r="41" ht="15.75" customHeight="1">
      <c r="A41" s="3"/>
      <c r="B41" s="3"/>
      <c r="C41" s="3"/>
      <c r="D41" s="3"/>
      <c r="E41" s="3"/>
    </row>
    <row r="42" ht="15.75" customHeight="1">
      <c r="A42" s="3"/>
      <c r="B42" s="3"/>
      <c r="C42" s="3"/>
      <c r="D42" s="3"/>
      <c r="E42" s="3"/>
    </row>
    <row r="43" ht="15.75" customHeight="1">
      <c r="A43" s="3"/>
      <c r="B43" s="3"/>
      <c r="C43" s="3"/>
      <c r="D43" s="3"/>
      <c r="E43" s="3"/>
    </row>
    <row r="44" ht="15.75" customHeight="1">
      <c r="A44" s="3"/>
      <c r="B44" s="3"/>
      <c r="C44" s="3"/>
      <c r="D44" s="3"/>
      <c r="E44" s="3"/>
    </row>
    <row r="45" ht="15.75" customHeight="1">
      <c r="A45" s="3"/>
      <c r="B45" s="3"/>
      <c r="C45" s="3"/>
      <c r="D45" s="3"/>
      <c r="E45" s="3"/>
    </row>
    <row r="46" ht="15.75" customHeight="1">
      <c r="A46" s="3"/>
      <c r="B46" s="3"/>
      <c r="C46" s="3"/>
      <c r="D46" s="3"/>
      <c r="E46" s="3"/>
    </row>
    <row r="47" ht="15.75" customHeight="1">
      <c r="A47" s="3"/>
      <c r="B47" s="3"/>
      <c r="C47" s="3"/>
      <c r="D47" s="3"/>
      <c r="E47" s="3"/>
    </row>
    <row r="48" ht="15.75" customHeight="1">
      <c r="A48" s="3"/>
      <c r="B48" s="3"/>
      <c r="C48" s="3"/>
      <c r="D48" s="3"/>
      <c r="E48" s="3"/>
    </row>
    <row r="49" ht="15.75" customHeight="1">
      <c r="A49" s="3"/>
      <c r="B49" s="3"/>
      <c r="C49" s="3"/>
      <c r="D49" s="3"/>
      <c r="E49" s="3"/>
    </row>
    <row r="50" ht="15.75" customHeight="1">
      <c r="A50" s="3"/>
      <c r="B50" s="3"/>
      <c r="C50" s="3"/>
      <c r="D50" s="3"/>
      <c r="E50" s="3"/>
    </row>
    <row r="51" ht="15.75" customHeight="1">
      <c r="A51" s="3"/>
      <c r="B51" s="3"/>
      <c r="C51" s="3"/>
      <c r="D51" s="3"/>
      <c r="E51" s="3"/>
    </row>
    <row r="52" ht="15.75" customHeight="1">
      <c r="A52" s="3"/>
      <c r="B52" s="3"/>
      <c r="C52" s="3"/>
      <c r="D52" s="3"/>
      <c r="E52" s="3"/>
    </row>
    <row r="53" ht="15.75" customHeight="1">
      <c r="A53" s="3"/>
      <c r="B53" s="3"/>
      <c r="C53" s="3"/>
      <c r="D53" s="3"/>
      <c r="E53" s="3"/>
    </row>
    <row r="54" ht="15.75" customHeight="1">
      <c r="A54" s="3"/>
      <c r="B54" s="3"/>
      <c r="C54" s="3"/>
      <c r="D54" s="3"/>
      <c r="E54" s="3"/>
    </row>
    <row r="55" ht="15.75" customHeight="1">
      <c r="A55" s="3"/>
      <c r="B55" s="3"/>
      <c r="C55" s="3"/>
      <c r="D55" s="3"/>
      <c r="E55" s="3"/>
    </row>
    <row r="56" ht="15.75" customHeight="1">
      <c r="A56" s="3"/>
      <c r="B56" s="3"/>
      <c r="C56" s="3"/>
      <c r="D56" s="3"/>
      <c r="E56" s="3"/>
    </row>
    <row r="57" ht="15.75" customHeight="1">
      <c r="A57" s="3"/>
      <c r="B57" s="3"/>
      <c r="C57" s="3"/>
      <c r="D57" s="3"/>
      <c r="E57" s="3"/>
    </row>
    <row r="58" ht="15.75" customHeight="1">
      <c r="A58" s="3"/>
      <c r="B58" s="3"/>
      <c r="C58" s="3"/>
      <c r="D58" s="3"/>
      <c r="E58" s="3"/>
    </row>
    <row r="59" ht="15.75" customHeight="1">
      <c r="A59" s="3"/>
      <c r="B59" s="3"/>
      <c r="C59" s="3"/>
      <c r="D59" s="3"/>
      <c r="E59" s="3"/>
    </row>
    <row r="60" ht="15.75" customHeight="1">
      <c r="A60" s="3"/>
      <c r="B60" s="3"/>
      <c r="C60" s="3"/>
      <c r="D60" s="3"/>
      <c r="E60" s="3"/>
    </row>
    <row r="61" ht="15.75" customHeight="1">
      <c r="A61" s="3"/>
      <c r="B61" s="3"/>
      <c r="C61" s="3"/>
      <c r="D61" s="3"/>
      <c r="E61" s="3"/>
    </row>
    <row r="62" ht="15.75" customHeight="1">
      <c r="A62" s="3"/>
      <c r="B62" s="3"/>
      <c r="C62" s="3"/>
      <c r="D62" s="3"/>
      <c r="E62" s="3"/>
    </row>
    <row r="63" ht="15.75" customHeight="1">
      <c r="A63" s="3"/>
      <c r="B63" s="3"/>
      <c r="C63" s="3"/>
      <c r="D63" s="3"/>
      <c r="E63" s="3"/>
    </row>
    <row r="64" ht="15.75" customHeight="1">
      <c r="A64" s="3"/>
      <c r="B64" s="3"/>
      <c r="C64" s="3"/>
      <c r="D64" s="3"/>
      <c r="E64" s="3"/>
    </row>
    <row r="65" ht="15.75" customHeight="1">
      <c r="A65" s="3"/>
      <c r="B65" s="3"/>
      <c r="C65" s="3"/>
      <c r="D65" s="3"/>
      <c r="E65" s="3"/>
    </row>
    <row r="66" ht="15.75" customHeight="1">
      <c r="A66" s="3"/>
      <c r="B66" s="3"/>
      <c r="C66" s="3"/>
      <c r="D66" s="3"/>
      <c r="E66" s="3"/>
    </row>
    <row r="67" ht="15.75" customHeight="1">
      <c r="A67" s="3"/>
      <c r="B67" s="3"/>
      <c r="C67" s="3"/>
      <c r="D67" s="3"/>
      <c r="E67" s="3"/>
    </row>
    <row r="68" ht="15.75" customHeight="1">
      <c r="A68" s="3"/>
      <c r="B68" s="3"/>
      <c r="C68" s="3"/>
      <c r="D68" s="3"/>
      <c r="E68" s="3"/>
    </row>
    <row r="69" ht="15.75" customHeight="1">
      <c r="A69" s="3"/>
      <c r="B69" s="3"/>
      <c r="C69" s="3"/>
      <c r="D69" s="3"/>
      <c r="E69" s="3"/>
    </row>
    <row r="70" ht="15.75" customHeight="1">
      <c r="A70" s="3"/>
      <c r="B70" s="3"/>
      <c r="C70" s="3"/>
      <c r="D70" s="3"/>
      <c r="E70" s="3"/>
    </row>
    <row r="71" ht="15.75" customHeight="1">
      <c r="A71" s="3"/>
      <c r="B71" s="3"/>
      <c r="C71" s="3"/>
      <c r="D71" s="3"/>
      <c r="E71" s="3"/>
    </row>
    <row r="72" ht="15.75" customHeight="1">
      <c r="A72" s="3"/>
      <c r="B72" s="3"/>
      <c r="C72" s="3"/>
      <c r="D72" s="3"/>
      <c r="E72" s="3"/>
    </row>
    <row r="73" ht="15.75" customHeight="1">
      <c r="A73" s="3"/>
      <c r="B73" s="3"/>
      <c r="C73" s="3"/>
      <c r="D73" s="3"/>
      <c r="E73" s="3"/>
    </row>
    <row r="74" ht="15.75" customHeight="1">
      <c r="A74" s="3"/>
      <c r="B74" s="3"/>
      <c r="C74" s="3"/>
      <c r="D74" s="3"/>
      <c r="E74" s="3"/>
    </row>
    <row r="75" ht="15.75" customHeight="1">
      <c r="A75" s="3"/>
      <c r="B75" s="3"/>
      <c r="C75" s="3"/>
      <c r="D75" s="3"/>
      <c r="E75" s="3"/>
    </row>
    <row r="76" ht="15.75" customHeight="1">
      <c r="A76" s="3"/>
      <c r="B76" s="3"/>
      <c r="C76" s="3"/>
      <c r="D76" s="3"/>
      <c r="E76" s="3"/>
    </row>
    <row r="77" ht="15.75" customHeight="1">
      <c r="A77" s="3"/>
      <c r="B77" s="3"/>
      <c r="C77" s="3"/>
      <c r="D77" s="3"/>
      <c r="E77" s="3"/>
    </row>
    <row r="78" ht="15.75" customHeight="1">
      <c r="A78" s="3"/>
      <c r="B78" s="3"/>
      <c r="C78" s="3"/>
      <c r="D78" s="3"/>
      <c r="E78" s="3"/>
    </row>
    <row r="79" ht="15.75" customHeight="1">
      <c r="A79" s="3"/>
      <c r="B79" s="3"/>
      <c r="C79" s="3"/>
      <c r="D79" s="3"/>
      <c r="E79" s="3"/>
    </row>
    <row r="80" ht="15.75" customHeight="1">
      <c r="A80" s="3"/>
      <c r="B80" s="3"/>
      <c r="C80" s="3"/>
      <c r="D80" s="3"/>
      <c r="E80" s="3"/>
    </row>
    <row r="81" ht="15.75" customHeight="1">
      <c r="A81" s="3"/>
      <c r="B81" s="3"/>
      <c r="C81" s="3"/>
      <c r="D81" s="3"/>
      <c r="E81" s="3"/>
    </row>
    <row r="82" ht="15.75" customHeight="1">
      <c r="A82" s="3"/>
      <c r="B82" s="3"/>
      <c r="C82" s="3"/>
      <c r="D82" s="3"/>
      <c r="E82" s="3"/>
    </row>
    <row r="83" ht="15.75" customHeight="1">
      <c r="A83" s="3"/>
      <c r="B83" s="3"/>
      <c r="C83" s="3"/>
      <c r="D83" s="3"/>
      <c r="E83" s="3"/>
    </row>
    <row r="84" ht="15.75" customHeight="1">
      <c r="A84" s="3"/>
      <c r="B84" s="3"/>
      <c r="C84" s="3"/>
      <c r="D84" s="3"/>
      <c r="E84" s="3"/>
    </row>
    <row r="85" ht="15.75" customHeight="1">
      <c r="A85" s="3"/>
      <c r="B85" s="3"/>
      <c r="C85" s="3"/>
      <c r="D85" s="3"/>
      <c r="E85" s="3"/>
    </row>
    <row r="86" ht="15.75" customHeight="1">
      <c r="A86" s="3"/>
      <c r="B86" s="3"/>
      <c r="C86" s="3"/>
      <c r="D86" s="3"/>
      <c r="E86" s="3"/>
    </row>
    <row r="87" ht="15.75" customHeight="1">
      <c r="A87" s="3"/>
      <c r="B87" s="3"/>
      <c r="C87" s="3"/>
      <c r="D87" s="3"/>
      <c r="E87" s="3"/>
    </row>
    <row r="88" ht="15.75" customHeight="1">
      <c r="A88" s="3"/>
      <c r="B88" s="3"/>
      <c r="C88" s="3"/>
      <c r="D88" s="3"/>
      <c r="E88" s="3"/>
    </row>
    <row r="89" ht="15.75" customHeight="1">
      <c r="A89" s="3"/>
      <c r="B89" s="3"/>
      <c r="C89" s="3"/>
      <c r="D89" s="3"/>
      <c r="E89" s="3"/>
    </row>
    <row r="90" ht="15.75" customHeight="1">
      <c r="A90" s="3"/>
      <c r="B90" s="3"/>
      <c r="C90" s="3"/>
      <c r="D90" s="3"/>
      <c r="E90" s="3"/>
    </row>
    <row r="91" ht="15.75" customHeight="1">
      <c r="A91" s="3"/>
      <c r="B91" s="3"/>
      <c r="C91" s="3"/>
      <c r="D91" s="3"/>
      <c r="E91" s="3"/>
    </row>
    <row r="92" ht="15.75" customHeight="1">
      <c r="A92" s="3"/>
      <c r="B92" s="3"/>
      <c r="C92" s="3"/>
      <c r="D92" s="3"/>
      <c r="E92" s="3"/>
    </row>
    <row r="93" ht="15.75" customHeight="1">
      <c r="A93" s="3"/>
      <c r="B93" s="3"/>
      <c r="C93" s="3"/>
      <c r="D93" s="3"/>
      <c r="E93" s="3"/>
    </row>
    <row r="94" ht="15.75" customHeight="1">
      <c r="A94" s="3"/>
      <c r="B94" s="3"/>
      <c r="C94" s="3"/>
      <c r="D94" s="3"/>
      <c r="E94" s="3"/>
    </row>
    <row r="95" ht="15.75" customHeight="1">
      <c r="A95" s="3"/>
      <c r="B95" s="3"/>
      <c r="C95" s="3"/>
      <c r="D95" s="3"/>
      <c r="E95" s="3"/>
    </row>
    <row r="96" ht="15.75" customHeight="1">
      <c r="A96" s="3"/>
      <c r="B96" s="3"/>
      <c r="C96" s="3"/>
      <c r="D96" s="3"/>
      <c r="E96" s="3"/>
    </row>
    <row r="97" ht="15.75" customHeight="1">
      <c r="A97" s="3"/>
      <c r="B97" s="3"/>
      <c r="C97" s="3"/>
      <c r="D97" s="3"/>
      <c r="E97" s="3"/>
    </row>
    <row r="98" ht="15.75" customHeight="1">
      <c r="A98" s="3"/>
      <c r="B98" s="3"/>
      <c r="C98" s="3"/>
      <c r="D98" s="3"/>
      <c r="E98" s="3"/>
    </row>
    <row r="99" ht="15.75" customHeight="1">
      <c r="A99" s="3"/>
      <c r="B99" s="3"/>
      <c r="C99" s="3"/>
      <c r="D99" s="3"/>
      <c r="E99" s="3"/>
    </row>
    <row r="100" ht="15.75" customHeight="1">
      <c r="A100" s="3"/>
      <c r="B100" s="3"/>
      <c r="C100" s="3"/>
      <c r="D100" s="3"/>
      <c r="E100" s="3"/>
    </row>
  </sheetData>
  <mergeCells count="9">
    <mergeCell ref="A15:E15"/>
    <mergeCell ref="A33:D33"/>
    <mergeCell ref="A1:E1"/>
    <mergeCell ref="A2:E2"/>
    <mergeCell ref="A9:E9"/>
    <mergeCell ref="B10:E10"/>
    <mergeCell ref="B11:E11"/>
    <mergeCell ref="B12:E12"/>
    <mergeCell ref="B13:E13"/>
  </mergeCells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6" width="16.0"/>
    <col customWidth="1" min="7" max="10" width="10.0"/>
    <col customWidth="1" min="11" max="11" width="8.71"/>
  </cols>
  <sheetData>
    <row r="1" ht="15.75" customHeight="1">
      <c r="A1" s="1" t="s">
        <v>86</v>
      </c>
      <c r="G1" s="3"/>
      <c r="H1" s="3"/>
      <c r="I1" s="3"/>
      <c r="J1" s="3"/>
    </row>
    <row r="2" ht="15.0" customHeight="1">
      <c r="A2" s="2" t="s">
        <v>87</v>
      </c>
      <c r="G2" s="3"/>
      <c r="H2" s="3"/>
      <c r="I2" s="3"/>
      <c r="J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</row>
    <row r="4" ht="15.0" customHeight="1">
      <c r="A4" s="9" t="s">
        <v>88</v>
      </c>
      <c r="B4" s="3"/>
      <c r="C4" s="3"/>
      <c r="D4" s="3"/>
      <c r="E4" s="3"/>
      <c r="F4" s="3"/>
      <c r="G4" s="3"/>
      <c r="H4" s="3"/>
      <c r="I4" s="3"/>
      <c r="J4" s="3"/>
    </row>
    <row r="5" ht="15.0" customHeight="1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15</v>
      </c>
      <c r="H5" s="4" t="s">
        <v>16</v>
      </c>
      <c r="I5" s="4" t="s">
        <v>17</v>
      </c>
      <c r="J5" s="4" t="s">
        <v>18</v>
      </c>
    </row>
    <row r="6" ht="15.0" customHeight="1">
      <c r="A6" s="36" t="s">
        <v>8</v>
      </c>
      <c r="B6" s="13">
        <v>47028.0</v>
      </c>
      <c r="C6" s="13">
        <v>22800.0</v>
      </c>
      <c r="D6" s="13">
        <v>2930.0</v>
      </c>
      <c r="E6" s="13">
        <v>1890.0</v>
      </c>
      <c r="F6" s="13">
        <v>7810.0</v>
      </c>
      <c r="G6" s="8">
        <v>46.9</v>
      </c>
      <c r="H6" s="8">
        <v>14.7</v>
      </c>
      <c r="I6" s="8">
        <v>125.0</v>
      </c>
      <c r="J6" s="8">
        <v>-63.5</v>
      </c>
    </row>
    <row r="7" ht="15.0" customHeight="1">
      <c r="A7" s="36" t="s">
        <v>9</v>
      </c>
      <c r="B7" s="13">
        <v>52446.0</v>
      </c>
      <c r="C7" s="13">
        <v>26800.0</v>
      </c>
      <c r="D7" s="13">
        <v>3360.0</v>
      </c>
      <c r="E7" s="13">
        <v>2200.0</v>
      </c>
      <c r="F7" s="13">
        <v>8760.0</v>
      </c>
      <c r="G7" s="8">
        <v>45.8</v>
      </c>
      <c r="H7" s="8">
        <v>15.3</v>
      </c>
      <c r="I7" s="8">
        <v>119.3</v>
      </c>
      <c r="J7" s="8">
        <v>-58.2</v>
      </c>
    </row>
    <row r="8" ht="15.0" customHeight="1">
      <c r="A8" s="36" t="s">
        <v>10</v>
      </c>
      <c r="B8" s="13">
        <v>60580.0</v>
      </c>
      <c r="C8" s="13">
        <v>30900.0</v>
      </c>
      <c r="D8" s="13">
        <v>3640.0</v>
      </c>
      <c r="E8" s="13">
        <v>2470.0</v>
      </c>
      <c r="F8" s="13">
        <v>9580.0</v>
      </c>
      <c r="G8" s="8">
        <v>43.0</v>
      </c>
      <c r="H8" s="8">
        <v>14.9</v>
      </c>
      <c r="I8" s="8">
        <v>113.2</v>
      </c>
      <c r="J8" s="8">
        <v>-55.3</v>
      </c>
    </row>
    <row r="9" ht="15.0" customHeight="1">
      <c r="A9" s="36" t="s">
        <v>11</v>
      </c>
      <c r="B9" s="13">
        <v>61896.0</v>
      </c>
      <c r="C9" s="13">
        <v>29900.0</v>
      </c>
      <c r="D9" s="13">
        <v>3812.0</v>
      </c>
      <c r="E9" s="13">
        <v>2690.0</v>
      </c>
      <c r="F9" s="13">
        <v>10148.0</v>
      </c>
      <c r="G9" s="8">
        <v>46.5</v>
      </c>
      <c r="H9" s="8">
        <v>15.9</v>
      </c>
      <c r="I9" s="8">
        <v>123.9</v>
      </c>
      <c r="J9" s="8">
        <v>-61.5</v>
      </c>
    </row>
    <row r="10" ht="15.0" customHeight="1">
      <c r="A10" s="36" t="s">
        <v>12</v>
      </c>
      <c r="B10" s="13">
        <v>63121.0</v>
      </c>
      <c r="C10" s="13">
        <v>30500.0</v>
      </c>
      <c r="D10" s="13">
        <v>3950.0</v>
      </c>
      <c r="E10" s="13">
        <v>2820.0</v>
      </c>
      <c r="F10" s="13">
        <v>11315.0</v>
      </c>
      <c r="G10" s="8">
        <v>47.3</v>
      </c>
      <c r="H10" s="8">
        <v>16.3</v>
      </c>
      <c r="I10" s="8">
        <v>135.4</v>
      </c>
      <c r="J10" s="8">
        <v>-71.8</v>
      </c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ht="15.0" customHeight="1">
      <c r="A13" s="9" t="s">
        <v>89</v>
      </c>
      <c r="B13" s="3"/>
      <c r="C13" s="3"/>
      <c r="D13" s="3"/>
      <c r="E13" s="3"/>
      <c r="F13" s="3"/>
      <c r="G13" s="3"/>
      <c r="H13" s="3"/>
      <c r="I13" s="3"/>
      <c r="J13" s="3"/>
    </row>
    <row r="14" ht="15.0" customHeight="1">
      <c r="A14" s="4" t="s">
        <v>2</v>
      </c>
      <c r="B14" s="4" t="s">
        <v>3</v>
      </c>
      <c r="C14" s="4" t="s">
        <v>15</v>
      </c>
      <c r="D14" s="4" t="s">
        <v>16</v>
      </c>
      <c r="E14" s="4" t="s">
        <v>17</v>
      </c>
      <c r="F14" s="3"/>
      <c r="G14" s="3"/>
      <c r="H14" s="3"/>
      <c r="I14" s="3"/>
      <c r="J14" s="3"/>
    </row>
    <row r="15" ht="15.0" customHeight="1">
      <c r="A15" s="36" t="s">
        <v>26</v>
      </c>
      <c r="B15" s="13">
        <v>67940.0</v>
      </c>
      <c r="C15" s="8">
        <v>45.6</v>
      </c>
      <c r="D15" s="8">
        <v>15.7</v>
      </c>
      <c r="E15" s="8">
        <v>124.2</v>
      </c>
      <c r="F15" s="3"/>
      <c r="G15" s="3"/>
      <c r="H15" s="3"/>
      <c r="I15" s="3"/>
      <c r="J15" s="3"/>
    </row>
    <row r="16" ht="15.0" customHeight="1">
      <c r="A16" s="36" t="s">
        <v>27</v>
      </c>
      <c r="B16" s="13">
        <v>73128.0</v>
      </c>
      <c r="C16" s="8">
        <v>45.6</v>
      </c>
      <c r="D16" s="8">
        <v>15.7</v>
      </c>
      <c r="E16" s="8">
        <v>124.2</v>
      </c>
      <c r="F16" s="3"/>
      <c r="G16" s="3"/>
      <c r="H16" s="3"/>
      <c r="I16" s="3"/>
      <c r="J16" s="3"/>
    </row>
    <row r="17" ht="15.0" customHeight="1">
      <c r="A17" s="36" t="s">
        <v>28</v>
      </c>
      <c r="B17" s="13">
        <v>78711.0</v>
      </c>
      <c r="C17" s="8">
        <v>45.6</v>
      </c>
      <c r="D17" s="8">
        <v>15.7</v>
      </c>
      <c r="E17" s="8">
        <v>124.2</v>
      </c>
      <c r="F17" s="3"/>
      <c r="G17" s="3"/>
      <c r="H17" s="3"/>
      <c r="I17" s="3"/>
      <c r="J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ht="15.0" customHeight="1">
      <c r="A20" s="9" t="s">
        <v>90</v>
      </c>
      <c r="B20" s="3"/>
      <c r="C20" s="3"/>
      <c r="D20" s="3"/>
      <c r="E20" s="3"/>
      <c r="F20" s="3"/>
      <c r="G20" s="3"/>
      <c r="H20" s="3"/>
      <c r="I20" s="3"/>
      <c r="J20" s="3"/>
    </row>
    <row r="21" ht="26.25" customHeight="1">
      <c r="A21" s="4" t="s">
        <v>34</v>
      </c>
      <c r="B21" s="4" t="s">
        <v>35</v>
      </c>
      <c r="C21" s="4" t="s">
        <v>36</v>
      </c>
      <c r="D21" s="3"/>
      <c r="E21" s="3"/>
      <c r="F21" s="3"/>
      <c r="G21" s="3"/>
      <c r="H21" s="3"/>
      <c r="I21" s="3"/>
      <c r="J21" s="3"/>
    </row>
    <row r="22" ht="15.0" customHeight="1">
      <c r="A22" s="37" t="s">
        <v>15</v>
      </c>
      <c r="B22" s="8">
        <v>25.0</v>
      </c>
      <c r="C22" s="8">
        <v>22.0</v>
      </c>
      <c r="D22" s="3"/>
      <c r="E22" s="3"/>
      <c r="F22" s="3"/>
      <c r="G22" s="3"/>
      <c r="H22" s="3"/>
      <c r="I22" s="3"/>
      <c r="J22" s="3"/>
    </row>
    <row r="23" ht="15.0" customHeight="1">
      <c r="A23" s="37" t="s">
        <v>16</v>
      </c>
      <c r="B23" s="8">
        <v>10.0</v>
      </c>
      <c r="C23" s="8">
        <v>8.0</v>
      </c>
      <c r="D23" s="3"/>
      <c r="E23" s="3"/>
      <c r="F23" s="3"/>
      <c r="G23" s="3"/>
      <c r="H23" s="3"/>
      <c r="I23" s="3"/>
      <c r="J23" s="3"/>
    </row>
    <row r="24" ht="15.0" customHeight="1">
      <c r="A24" s="37" t="s">
        <v>17</v>
      </c>
      <c r="B24" s="8">
        <v>45.0</v>
      </c>
      <c r="C24" s="8">
        <v>48.0</v>
      </c>
      <c r="D24" s="3"/>
      <c r="E24" s="3"/>
      <c r="F24" s="3"/>
      <c r="G24" s="3"/>
      <c r="H24" s="3"/>
      <c r="I24" s="3"/>
      <c r="J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ht="15.0" customHeight="1">
      <c r="A26" s="9" t="s">
        <v>91</v>
      </c>
      <c r="B26" s="3"/>
      <c r="C26" s="3"/>
      <c r="D26" s="3"/>
      <c r="E26" s="3"/>
      <c r="F26" s="3"/>
      <c r="G26" s="3"/>
      <c r="H26" s="3"/>
      <c r="I26" s="3"/>
      <c r="J26" s="3"/>
    </row>
    <row r="27" ht="15.0" customHeight="1">
      <c r="A27" s="4" t="s">
        <v>37</v>
      </c>
      <c r="B27" s="4" t="s">
        <v>38</v>
      </c>
      <c r="C27" s="3"/>
      <c r="D27" s="3"/>
      <c r="E27" s="3"/>
      <c r="F27" s="3"/>
      <c r="G27" s="3"/>
      <c r="H27" s="3"/>
      <c r="I27" s="3"/>
      <c r="J27" s="3"/>
    </row>
    <row r="28" ht="15.0" customHeight="1">
      <c r="A28" s="37" t="s">
        <v>39</v>
      </c>
      <c r="B28" s="8">
        <v>-10.0</v>
      </c>
      <c r="C28" s="3"/>
      <c r="D28" s="3"/>
      <c r="E28" s="3"/>
      <c r="F28" s="3"/>
      <c r="G28" s="3"/>
      <c r="H28" s="3"/>
      <c r="I28" s="3"/>
      <c r="J28" s="3"/>
    </row>
    <row r="29" ht="15.0" customHeight="1">
      <c r="A29" s="37" t="s">
        <v>40</v>
      </c>
      <c r="B29" s="8">
        <v>-18.0</v>
      </c>
      <c r="C29" s="3"/>
      <c r="D29" s="3"/>
      <c r="E29" s="3"/>
      <c r="F29" s="3"/>
      <c r="G29" s="3"/>
      <c r="H29" s="3"/>
      <c r="I29" s="3"/>
      <c r="J29" s="3"/>
    </row>
    <row r="30" ht="15.0" customHeight="1">
      <c r="A30" s="37" t="s">
        <v>45</v>
      </c>
      <c r="B30" s="13">
        <v>847.0</v>
      </c>
      <c r="C30" s="3"/>
      <c r="D30" s="3"/>
      <c r="E30" s="3"/>
      <c r="F30" s="3"/>
      <c r="G30" s="3"/>
      <c r="H30" s="3"/>
      <c r="I30" s="3"/>
      <c r="J30" s="3"/>
    </row>
    <row r="31" ht="15.0" customHeight="1">
      <c r="A31" s="37" t="s">
        <v>46</v>
      </c>
      <c r="B31" s="11">
        <v>0.0134</v>
      </c>
      <c r="C31" s="3"/>
      <c r="D31" s="3"/>
      <c r="E31" s="3"/>
      <c r="F31" s="3"/>
      <c r="G31" s="3"/>
      <c r="H31" s="3"/>
      <c r="I31" s="3"/>
      <c r="J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ht="15.0" customHeight="1">
      <c r="A34" s="9" t="s">
        <v>92</v>
      </c>
      <c r="B34" s="3"/>
      <c r="C34" s="3"/>
      <c r="D34" s="3"/>
      <c r="E34" s="3"/>
      <c r="F34" s="3"/>
      <c r="G34" s="3"/>
      <c r="H34" s="3"/>
      <c r="I34" s="3"/>
      <c r="J34" s="3"/>
    </row>
    <row r="35" ht="39.0" customHeight="1">
      <c r="A35" s="4" t="s">
        <v>3</v>
      </c>
      <c r="B35" s="4" t="s">
        <v>18</v>
      </c>
      <c r="C35" s="4" t="s">
        <v>93</v>
      </c>
      <c r="D35" s="4" t="s">
        <v>94</v>
      </c>
      <c r="E35" s="3"/>
      <c r="F35" s="3"/>
      <c r="G35" s="3"/>
      <c r="H35" s="3"/>
      <c r="I35" s="3"/>
      <c r="J35" s="3"/>
    </row>
    <row r="36" ht="15.0" customHeight="1">
      <c r="A36" s="13">
        <v>63121.0</v>
      </c>
      <c r="B36" s="8">
        <v>-71.8</v>
      </c>
      <c r="C36" s="13">
        <v>847.0</v>
      </c>
      <c r="D36" s="11">
        <v>0.0134</v>
      </c>
      <c r="E36" s="3"/>
      <c r="F36" s="3"/>
      <c r="G36" s="3"/>
      <c r="H36" s="3"/>
      <c r="I36" s="3"/>
      <c r="J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ht="15.0" customHeight="1">
      <c r="A39" s="9" t="s">
        <v>95</v>
      </c>
      <c r="B39" s="3"/>
      <c r="C39" s="3"/>
      <c r="D39" s="3"/>
      <c r="E39" s="3"/>
      <c r="F39" s="3"/>
      <c r="G39" s="3"/>
      <c r="H39" s="3"/>
      <c r="I39" s="3"/>
      <c r="J39" s="3"/>
    </row>
    <row r="40" ht="15.0" customHeight="1">
      <c r="A40" s="4" t="s">
        <v>96</v>
      </c>
      <c r="B40" s="4" t="s">
        <v>97</v>
      </c>
      <c r="C40" s="3"/>
      <c r="D40" s="3"/>
      <c r="E40" s="3"/>
      <c r="F40" s="3"/>
      <c r="G40" s="3"/>
      <c r="H40" s="3"/>
      <c r="I40" s="3"/>
      <c r="J40" s="3"/>
    </row>
    <row r="41" ht="15.0" customHeight="1">
      <c r="A41" s="37" t="s">
        <v>98</v>
      </c>
      <c r="B41" s="13">
        <v>251.0</v>
      </c>
      <c r="C41" s="3"/>
      <c r="D41" s="3"/>
      <c r="E41" s="3"/>
      <c r="F41" s="3"/>
      <c r="G41" s="3"/>
      <c r="H41" s="3"/>
      <c r="I41" s="3"/>
      <c r="J41" s="3"/>
    </row>
    <row r="42" ht="15.0" customHeight="1">
      <c r="A42" s="37" t="s">
        <v>99</v>
      </c>
      <c r="B42" s="13">
        <v>346.0</v>
      </c>
      <c r="C42" s="3"/>
      <c r="D42" s="3"/>
      <c r="E42" s="3"/>
      <c r="F42" s="3"/>
      <c r="G42" s="3"/>
      <c r="H42" s="3"/>
      <c r="I42" s="3"/>
      <c r="J42" s="3"/>
    </row>
    <row r="43" ht="15.0" customHeight="1">
      <c r="A43" s="37" t="s">
        <v>100</v>
      </c>
      <c r="B43" s="13">
        <v>251.0</v>
      </c>
      <c r="C43" s="3"/>
      <c r="D43" s="3"/>
      <c r="E43" s="3"/>
      <c r="F43" s="3"/>
      <c r="G43" s="3"/>
      <c r="H43" s="3"/>
      <c r="I43" s="3"/>
      <c r="J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ht="15.0" customHeight="1">
      <c r="A46" s="9" t="s">
        <v>101</v>
      </c>
      <c r="B46" s="3"/>
      <c r="C46" s="3"/>
      <c r="D46" s="3"/>
      <c r="E46" s="3"/>
      <c r="F46" s="3"/>
      <c r="G46" s="3"/>
      <c r="H46" s="3"/>
      <c r="I46" s="3"/>
      <c r="J46" s="3"/>
    </row>
    <row r="47" ht="15.0" customHeight="1">
      <c r="A47" s="4" t="s">
        <v>102</v>
      </c>
      <c r="B47" s="4" t="s">
        <v>103</v>
      </c>
      <c r="C47" s="4" t="s">
        <v>104</v>
      </c>
      <c r="D47" s="4" t="s">
        <v>105</v>
      </c>
      <c r="E47" s="4" t="s">
        <v>106</v>
      </c>
      <c r="F47" s="4" t="s">
        <v>107</v>
      </c>
      <c r="G47" s="3"/>
      <c r="H47" s="3"/>
      <c r="I47" s="3"/>
      <c r="J47" s="3"/>
    </row>
    <row r="48" ht="15.0" customHeight="1">
      <c r="A48" s="8">
        <v>25.0</v>
      </c>
      <c r="B48" s="8">
        <v>22.0</v>
      </c>
      <c r="C48" s="8">
        <v>10.0</v>
      </c>
      <c r="D48" s="8">
        <v>8.0</v>
      </c>
      <c r="E48" s="8">
        <v>45.0</v>
      </c>
      <c r="F48" s="8">
        <v>48.0</v>
      </c>
      <c r="G48" s="3"/>
      <c r="H48" s="3"/>
      <c r="I48" s="3"/>
      <c r="J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ht="15.0" customHeight="1">
      <c r="A51" s="9" t="s">
        <v>108</v>
      </c>
      <c r="B51" s="3"/>
      <c r="C51" s="3"/>
      <c r="D51" s="3"/>
      <c r="E51" s="3"/>
      <c r="F51" s="3"/>
      <c r="G51" s="3"/>
      <c r="H51" s="3"/>
      <c r="I51" s="3"/>
      <c r="J51" s="3"/>
    </row>
    <row r="52" ht="26.25" customHeight="1">
      <c r="A52" s="4" t="s">
        <v>109</v>
      </c>
      <c r="B52" s="4" t="s">
        <v>110</v>
      </c>
      <c r="C52" s="4" t="s">
        <v>111</v>
      </c>
      <c r="D52" s="4" t="s">
        <v>93</v>
      </c>
      <c r="E52" s="3"/>
      <c r="F52" s="3"/>
      <c r="G52" s="3"/>
      <c r="H52" s="3"/>
      <c r="I52" s="3"/>
      <c r="J52" s="3"/>
    </row>
    <row r="53" ht="15.0" customHeight="1">
      <c r="A53" s="8">
        <v>-10.0</v>
      </c>
      <c r="B53" s="8">
        <v>-18.0</v>
      </c>
      <c r="C53" s="8">
        <v>8.0</v>
      </c>
      <c r="D53" s="13">
        <v>847.0</v>
      </c>
      <c r="E53" s="3"/>
      <c r="F53" s="3"/>
      <c r="G53" s="3"/>
      <c r="H53" s="3"/>
      <c r="I53" s="3"/>
      <c r="J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ht="15.0" customHeight="1">
      <c r="A56" s="9" t="s">
        <v>112</v>
      </c>
      <c r="B56" s="3"/>
      <c r="C56" s="3"/>
      <c r="D56" s="3"/>
      <c r="E56" s="3"/>
      <c r="F56" s="3"/>
      <c r="G56" s="3"/>
      <c r="H56" s="3"/>
      <c r="I56" s="3"/>
      <c r="J56" s="3"/>
    </row>
    <row r="57" ht="39.0" customHeight="1">
      <c r="A57" s="4" t="s">
        <v>49</v>
      </c>
      <c r="B57" s="4" t="s">
        <v>15</v>
      </c>
      <c r="C57" s="4" t="s">
        <v>16</v>
      </c>
      <c r="D57" s="4" t="s">
        <v>17</v>
      </c>
      <c r="E57" s="4" t="s">
        <v>18</v>
      </c>
      <c r="F57" s="4" t="s">
        <v>50</v>
      </c>
      <c r="G57" s="4" t="s">
        <v>51</v>
      </c>
      <c r="H57" s="3"/>
      <c r="I57" s="3"/>
      <c r="J57" s="3"/>
    </row>
    <row r="58" ht="15.0" customHeight="1">
      <c r="A58" s="15" t="s">
        <v>52</v>
      </c>
      <c r="B58" s="8">
        <v>22.0</v>
      </c>
      <c r="C58" s="8">
        <v>8.0</v>
      </c>
      <c r="D58" s="8">
        <v>48.0</v>
      </c>
      <c r="E58" s="8">
        <v>-18.0</v>
      </c>
      <c r="F58" s="13">
        <v>847.0</v>
      </c>
      <c r="G58" s="30">
        <v>0.0134</v>
      </c>
      <c r="H58" s="3"/>
      <c r="I58" s="3"/>
      <c r="J58" s="3"/>
    </row>
    <row r="59" ht="15.0" customHeight="1">
      <c r="A59" s="15" t="s">
        <v>53</v>
      </c>
      <c r="B59" s="8">
        <v>25.0</v>
      </c>
      <c r="C59" s="8">
        <v>10.0</v>
      </c>
      <c r="D59" s="8">
        <v>45.0</v>
      </c>
      <c r="E59" s="8">
        <v>-10.0</v>
      </c>
      <c r="F59" s="13">
        <v>0.0</v>
      </c>
      <c r="G59" s="30">
        <v>0.0</v>
      </c>
      <c r="H59" s="3"/>
      <c r="I59" s="3"/>
      <c r="J59" s="3"/>
    </row>
    <row r="60" ht="15.0" customHeight="1">
      <c r="A60" s="15" t="s">
        <v>54</v>
      </c>
      <c r="B60" s="8">
        <v>30.0</v>
      </c>
      <c r="C60" s="8">
        <v>15.0</v>
      </c>
      <c r="D60" s="8">
        <v>40.0</v>
      </c>
      <c r="E60" s="8">
        <v>5.0</v>
      </c>
      <c r="F60" s="13">
        <v>-1700.0</v>
      </c>
      <c r="G60" s="30">
        <v>-0.0269</v>
      </c>
      <c r="H60" s="3"/>
      <c r="I60" s="3"/>
      <c r="J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ht="15.0" customHeight="1">
      <c r="A63" s="9" t="s">
        <v>113</v>
      </c>
      <c r="B63" s="3"/>
      <c r="C63" s="3"/>
      <c r="D63" s="3"/>
      <c r="E63" s="3"/>
      <c r="F63" s="3"/>
      <c r="G63" s="3"/>
      <c r="H63" s="3"/>
      <c r="I63" s="3"/>
      <c r="J63" s="3"/>
    </row>
    <row r="64" ht="15.0" customHeight="1">
      <c r="A64" s="4" t="s">
        <v>58</v>
      </c>
      <c r="B64" s="4" t="s">
        <v>59</v>
      </c>
      <c r="C64" s="4" t="s">
        <v>60</v>
      </c>
      <c r="D64" s="4" t="s">
        <v>61</v>
      </c>
      <c r="E64" s="3"/>
      <c r="F64" s="3"/>
      <c r="G64" s="3"/>
      <c r="H64" s="3"/>
      <c r="I64" s="3"/>
      <c r="J64" s="3"/>
    </row>
    <row r="65" ht="15.0" customHeight="1">
      <c r="A65" s="15" t="s">
        <v>62</v>
      </c>
      <c r="B65" s="8">
        <v>25.0</v>
      </c>
      <c r="C65" s="8">
        <v>50.0</v>
      </c>
      <c r="D65" s="38" t="s">
        <v>114</v>
      </c>
      <c r="E65" s="3"/>
      <c r="F65" s="3"/>
      <c r="G65" s="3"/>
      <c r="H65" s="3"/>
      <c r="I65" s="3"/>
      <c r="J65" s="3"/>
    </row>
    <row r="66" ht="15.0" customHeight="1">
      <c r="A66" s="15" t="s">
        <v>63</v>
      </c>
      <c r="B66" s="8">
        <v>10.0</v>
      </c>
      <c r="C66" s="8">
        <v>30.0</v>
      </c>
      <c r="D66" s="38" t="s">
        <v>114</v>
      </c>
      <c r="E66" s="3"/>
      <c r="F66" s="3"/>
      <c r="G66" s="3"/>
      <c r="H66" s="3"/>
      <c r="I66" s="3"/>
      <c r="J66" s="3"/>
    </row>
    <row r="67" ht="15.0" customHeight="1">
      <c r="A67" s="15" t="s">
        <v>64</v>
      </c>
      <c r="B67" s="8">
        <v>-10.0</v>
      </c>
      <c r="C67" s="8">
        <v>0.0</v>
      </c>
      <c r="D67" s="38" t="s">
        <v>114</v>
      </c>
      <c r="E67" s="3"/>
      <c r="F67" s="3"/>
      <c r="G67" s="3"/>
      <c r="H67" s="3"/>
      <c r="I67" s="3"/>
      <c r="J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2026-06-20T07:56:08Z</dcterms:created>
  <dc:creator>openpyxl</dc:creator>
  <dc:description/>
  <dc:language>en-US</dc:language>
  <cp:lastModifiedBy/>
  <dcterms:modified xsi:type="dcterms:W3CDTF">2026-06-22T08:12:10Z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